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\Documents\40 db prueba 3\"/>
    </mc:Choice>
  </mc:AlternateContent>
  <xr:revisionPtr revIDLastSave="0" documentId="13_ncr:1_{42BCA970-0567-4F9F-9AAC-690C618F57B5}" xr6:coauthVersionLast="47" xr6:coauthVersionMax="47" xr10:uidLastSave="{00000000-0000-0000-0000-000000000000}"/>
  <bookViews>
    <workbookView xWindow="-120" yWindow="390" windowWidth="38640" windowHeight="20610" activeTab="2" xr2:uid="{00000000-000D-0000-FFFF-FFFF00000000}"/>
  </bookViews>
  <sheets>
    <sheet name="Portada" sheetId="1" r:id="rId1"/>
    <sheet name="1. Resumen" sheetId="2" r:id="rId2"/>
    <sheet name="2. Alcance" sheetId="3" r:id="rId3"/>
    <sheet name="3. Elementos a probar" sheetId="4" r:id="rId4"/>
    <sheet name="4. Criterios" sheetId="5" r:id="rId5"/>
    <sheet name="5. Recursos-RACI-Crono" sheetId="6" r:id="rId6"/>
    <sheet name="6. Riesgos" sheetId="7" r:id="rId7"/>
    <sheet name="7. Matriz trazabilida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8" l="1"/>
  <c r="D12" i="8"/>
  <c r="C12" i="8"/>
  <c r="B12" i="8"/>
</calcChain>
</file>

<file path=xl/sharedStrings.xml><?xml version="1.0" encoding="utf-8"?>
<sst xmlns="http://schemas.openxmlformats.org/spreadsheetml/2006/main" count="590" uniqueCount="427">
  <si>
    <t>PLAN DE PRUEBAS DE SOFTWARE</t>
  </si>
  <si>
    <t>Proyecto 40dB — Monitoreo de contaminación acústica urbana</t>
  </si>
  <si>
    <t>Documento</t>
  </si>
  <si>
    <t>Plan de pruebas de software (anexo del informe)</t>
  </si>
  <si>
    <t>Sistema bajo prueba</t>
  </si>
  <si>
    <t>40db-backend (API FastAPI) + 40db-frontend (SPA Vue 3)</t>
  </si>
  <si>
    <t>Autores</t>
  </si>
  <si>
    <t>J. Meléndez · I. Saavedra</t>
  </si>
  <si>
    <t>Evaluación</t>
  </si>
  <si>
    <t>Parcial 3</t>
  </si>
  <si>
    <t>Versión</t>
  </si>
  <si>
    <t>1.0</t>
  </si>
  <si>
    <t>Fecha</t>
  </si>
  <si>
    <t>2026-06-21</t>
  </si>
  <si>
    <t>Ejecución verificada</t>
  </si>
  <si>
    <t>Backend 2026-06-20 · Frontend 2026-06-19</t>
  </si>
  <si>
    <t>Total automatizado</t>
  </si>
  <si>
    <t>314 pruebas en verde (251 backend + 63 frontend) · 96% cobertura backend</t>
  </si>
  <si>
    <t>Contenido del libro</t>
  </si>
  <si>
    <t>1. Resumen (sección para el informe, ~1 página)</t>
  </si>
  <si>
    <t>2. Alcance (dentro / fuera y riesgo asumido)</t>
  </si>
  <si>
    <t>3. Elementos a probar (nuevas + regresión + tipos)</t>
  </si>
  <si>
    <t>4. Criterios (aceptación, rechazo, suspensión, reanudación)</t>
  </si>
  <si>
    <t>5. Recursos, RACI y cronograma</t>
  </si>
  <si>
    <t>6. Riesgos (mitigación / contingencia)</t>
  </si>
  <si>
    <t>7. Matriz de trazabilidad (casos B-01..B-14 / F-01..F-13)</t>
  </si>
  <si>
    <t>1. Resumen para el informe</t>
  </si>
  <si>
    <t>Síntesis del plan (~1 página). El detalle se desarrolla en las hojas siguientes.</t>
  </si>
  <si>
    <t>Contexto</t>
  </si>
  <si>
    <t>Sistema 40dB: API FastAPI (backend) y SPA Vue 3 (frontend) que se comunican por un contrato HTTP documentado. La verificación se apoya en una pirámide de pruebas por capas (unitarias → integración → humo → funcionales/E2E), más seguridad, regresión, carga y auditoría de dependencias. A la fecha de cierre: 314 pruebas automatizadas en verde (251 backend + 63 frontend), 96% de cobertura backend.</t>
  </si>
  <si>
    <t>Alcance</t>
  </si>
  <si>
    <t>Se prueban todos los módulos funcionales: autenticación y autorización por rol (vecino, funcionario, administrador), ciclo de vida de reportes, búsqueda de evidencia IoT, comentarios, gestión de sensores (CRUD), heatmap, resumen horario, gestión de usuarios y archivos administrativos. Quedan fuera: infraestructura gestionada de Supabase, ingestor MQTT con hardware ESP32 real y la lógica geo-temporal en Postgres; el riesgo se mitiga con mocks y con la prueba de la unidad registrar_lectura.</t>
  </si>
  <si>
    <t>Elementos a probar</t>
  </si>
  <si>
    <t>Nuevas: flujos por rol verificados E2E (Cypress) y casos de uso (pytest). Regresión: máquina de estados del reporte (BUG-001 — transiciones inválidas y comentario obligatorio al descartar) y validación de entradas/XSS, con suites dedicadas.</t>
  </si>
  <si>
    <t>Criterios de aceptación</t>
  </si>
  <si>
    <t>Según los tres ejes de la consigna: (a) ejecutar el 100% de las pruebas unitarias; (b) alcanzar el porcentaje de casos exitosos definido (100%, logrado 314/314); (c) corregir el 100% de los defectos bloqueantes/críticos. Rechazo: no ejecutar el 100% de las unitarias, quedar bajo el porcentaje de éxito, o dejar un defecto bloqueante/crítico sin corregir.</t>
  </si>
  <si>
    <t>Suspensión / reanudación</t>
  </si>
  <si>
    <t>Se suspende ante un defecto bloqueante que impide colectar/ejecutar una suite (p. ej. faltan variables de entorno y rompe el import de app.main), si el entorno no levanta, o si la tasa de fallos supera el 30%. Se reanuda al corregir la causa raíz, dejar la suite afectada en verde y correr una regresión completa.</t>
  </si>
  <si>
    <t>Recursos, roles, cronograma</t>
  </si>
  <si>
    <t>Equipo de dos integrantes con roles cruzados (cada quien prueba lo del otro). Herramientas: pytest, Vitest, Cypress, k6, ruff/ESLint, pip-audit/npm-audit. RACI y cronograma de 5 fases en la hoja 5.</t>
  </si>
  <si>
    <t>Premisas / dependencias / riesgos</t>
  </si>
  <si>
    <t>Se asume deps instaladas y contrato API estable. Riesgos clave: dependencia de Supabase (mitigado con mocks), una vulnerabilidad moderate documentada (dompurify vía jspdf) y la carga autenticada pendiente por requerir token real. Detalle en la hoja 6.</t>
  </si>
  <si>
    <t>2. Alcance de las pruebas</t>
  </si>
  <si>
    <t>Qué se prueba, qué queda fuera, por qué y con qué riesgo asumido.</t>
  </si>
  <si>
    <t>2.1 Dentro del alcance (se prueba)</t>
  </si>
  <si>
    <t>Módulo / componente</t>
  </si>
  <si>
    <t>Tipo de prueba aplicada</t>
  </si>
  <si>
    <t>Referencia</t>
  </si>
  <si>
    <t>Autenticación y guards por rol (vecino/funcionario/admin)</t>
  </si>
  <si>
    <t>Seguridad, E2E</t>
  </si>
  <si>
    <t>B-07..B-11, F-08</t>
  </si>
  <si>
    <t>Reportes: crear, listar, detalle, cambiar estado</t>
  </si>
  <si>
    <t>Integración, humo, E2E</t>
  </si>
  <si>
    <t>B-03, B-05, B-06, F-09, F-10</t>
  </si>
  <si>
    <t>Búsqueda de evidencia IoT (geo-temporal, pull-based)</t>
  </si>
  <si>
    <t>Integración (caso de uso)</t>
  </si>
  <si>
    <t>B-03</t>
  </si>
  <si>
    <t>Comentarios internos/externos del reporte</t>
  </si>
  <si>
    <t>Integración, E2E</t>
  </si>
  <si>
    <t>B-03, F-10</t>
  </si>
  <si>
    <t>Gestión de sensores (CRUD)</t>
  </si>
  <si>
    <t>B-03, B-05, F-11</t>
  </si>
  <si>
    <t>Heatmap de ruido (GeoJSON → KPIs)</t>
  </si>
  <si>
    <t>Unitaria, humo</t>
  </si>
  <si>
    <t>F-02, B-05</t>
  </si>
  <si>
    <t>Resumen horario de lecturas</t>
  </si>
  <si>
    <t>Integración</t>
  </si>
  <si>
    <t>B-03, B-05</t>
  </si>
  <si>
    <t>Gestión de usuarios (listar/promover/activar)</t>
  </si>
  <si>
    <t>Archivos administrativos (PDF/CSV, storage)</t>
  </si>
  <si>
    <t>B-02, B-03, B-05</t>
  </si>
  <si>
    <t>Dominio: errores, máquina de estados, paginación, heatmap</t>
  </si>
  <si>
    <t>Unitaria</t>
  </si>
  <si>
    <t>B-01</t>
  </si>
  <si>
    <t>Contrato de errores y guards HTTP (front)</t>
  </si>
  <si>
    <t>F-01</t>
  </si>
  <si>
    <t>Validación de entradas / XSS</t>
  </si>
  <si>
    <t>Seguridad, regresión</t>
  </si>
  <si>
    <t>F-06, B-01</t>
  </si>
  <si>
    <t>Calidad estática (lint, type-check) y dependencias (SCA)</t>
  </si>
  <si>
    <t>Estática, auditoría</t>
  </si>
  <si>
    <t>F-13, B-12, F-12</t>
  </si>
  <si>
    <t>Rendimiento del techo ASGI</t>
  </si>
  <si>
    <t>Carga humo (k6)</t>
  </si>
  <si>
    <t>B-13</t>
  </si>
  <si>
    <t>2.2 Fuera del alcance (no se prueba) — justificación y riesgo asumido</t>
  </si>
  <si>
    <t>Excluido</t>
  </si>
  <si>
    <t>Justificación</t>
  </si>
  <si>
    <t>Riesgo asumido y mitigación</t>
  </si>
  <si>
    <t>Infraestructura gestionada de Supabase (Postgres/PostGIS, Storage, Auth)</t>
  </si>
  <si>
    <t>Servicio de terceros bajo SLA del proveedor; fuera del control del equipo</t>
  </si>
  <si>
    <t>Bajo. Se mockea el cliente Supabase; el contrato se valida en adaptadores (B-02)</t>
  </si>
  <si>
    <t>Ingestor MQTT con hardware ESP32 físico y broker en vivo</t>
  </si>
  <si>
    <t>Requiere dispositivos reales y broker; no reproducible en CI</t>
  </si>
  <si>
    <t>Medio. Se prueba la unidad registrar_lectura; arranque MQTT aislado del HTTP</t>
  </si>
  <si>
    <t>Lógica geo-temporal en Postgres (ST_DWithin, RPC crear_reporte_con_validacion)</t>
  </si>
  <si>
    <t>Vive en SQL/PostGIS, no en código propio; atomicidad es de la BD</t>
  </si>
  <si>
    <t>Medio. Se prueba la orquestación del caso de uso y el decode de la RPC (B-02, B-03)</t>
  </si>
  <si>
    <t>Carga autenticada contra Supabase real</t>
  </si>
  <si>
    <t>Necesita entorno con token y datos reales no disponibles en CI</t>
  </si>
  <si>
    <t>Bajo. Escenario listo (B-14); se ejecuta el humo de carga sobre el techo ASGI (B-13)</t>
  </si>
  <si>
    <t>Cross-browser exhaustivo y usabilidad/accesibilidad formal</t>
  </si>
  <si>
    <t>Producto académico; recursos limitados</t>
  </si>
  <si>
    <t>Bajo-Medio. Cypress corre sobre Chromium; se cuida aria-invalid en componentes base</t>
  </si>
  <si>
    <t>Pruebas de penetración profesionales (pentest)</t>
  </si>
  <si>
    <t>Fuera del alcance del curso</t>
  </si>
  <si>
    <t>Medio. Se cubren vectores comunes: authn/authz, JWT, XSS, no fuga de información</t>
  </si>
  <si>
    <t>3. Elementos y funcionalidades a probar</t>
  </si>
  <si>
    <t>Desde la perspectiva del usuario: funcionalidades nuevas y de regresión, y tipos de prueba.</t>
  </si>
  <si>
    <t>3.1 Funcionalidades nuevas (perspectiva del usuario)</t>
  </si>
  <si>
    <t>Rol / ámbito</t>
  </si>
  <si>
    <t>Funcionalidad</t>
  </si>
  <si>
    <t>Vecino/ciudadano</t>
  </si>
  <si>
    <t>Registrarse e iniciar sesión; ver KPIs de ruido de su zona; crear reporte con validación de formulario; consultar 'Mis reportes' y su detalle.</t>
  </si>
  <si>
    <t>Funcionario</t>
  </si>
  <si>
    <t>Ver KPIs de estado; listar/filtrar reportes de su comuna; abrir detalle, comentar y avanzar el estado (En espera → En atención → Atendido/Descartado).</t>
  </si>
  <si>
    <t>Administrador</t>
  </si>
  <si>
    <t>Dashboard de salud de sensores; accesos rápidos a 5 módulos; CRUD de sensores; gestión de usuarios (promover/activar); generación de archivos administrativos.</t>
  </si>
  <si>
    <t>Transversal</t>
  </si>
  <si>
    <t>Redirección por rol, protección de rutas, formato de error estándar {error:{code,message,correlation_id}}, heatmap de ruido.</t>
  </si>
  <si>
    <t>3.2 Funcionalidades a re-probar (regresión)</t>
  </si>
  <si>
    <t>Tema</t>
  </si>
  <si>
    <t>Qué se vuelve a probar</t>
  </si>
  <si>
    <t>Cubierto por</t>
  </si>
  <si>
    <t>BUG-001 — Máquina de estados</t>
  </si>
  <si>
    <t>Estados terminales sin transición; no saltar de 'En espera' a 'Atendido'; 'Descartado' exige comentario; terminales = {Atendido, Descartado}.</t>
  </si>
  <si>
    <t>F-05, B-01</t>
  </si>
  <si>
    <t>Títulos/mensajes/inputs con &lt;script&gt; o &lt;img onerror&gt; se renderizan como texto, nunca como HTML.</t>
  </si>
  <si>
    <t>F-06</t>
  </si>
  <si>
    <t>Contrato de errores y guards HTTP</t>
  </si>
  <si>
    <t>Discriminación de ApiHttpError (401/403) en el front coherente con el backend.</t>
  </si>
  <si>
    <t>3.3 Tipos de prueba y herramientas</t>
  </si>
  <si>
    <t>Tipo</t>
  </si>
  <si>
    <t>Backend</t>
  </si>
  <si>
    <t>Frontend</t>
  </si>
  <si>
    <t>Herramienta</t>
  </si>
  <si>
    <t>test_domain.py (13)</t>
  </si>
  <si>
    <t>errors, heatmap-features (16)</t>
  </si>
  <si>
    <t>pytest / Vitest</t>
  </si>
  <si>
    <t>test_infrastructure (11), test_application (69), test_api (36), test_integration (32)</t>
  </si>
  <si>
    <t>BaseInput, toast (7)</t>
  </si>
  <si>
    <t>pytest / Vitest+test-utils</t>
  </si>
  <si>
    <t>Humo (smoke)</t>
  </si>
  <si>
    <t>test_smoke.py (43)</t>
  </si>
  <si>
    <t>home.cy.ts (2)</t>
  </si>
  <si>
    <t>TestClient / Cypress</t>
  </si>
  <si>
    <t>Funcional / E2E</t>
  </si>
  <si>
    <t>—</t>
  </si>
  <si>
    <t>02_auth, 03_vecino, 04_funcionario, 05_admin (29)</t>
  </si>
  <si>
    <t>Cypress</t>
  </si>
  <si>
    <t>Regresión</t>
  </si>
  <si>
    <t>parcial en dominio</t>
  </si>
  <si>
    <t>regression.estado-reporte (5)</t>
  </si>
  <si>
    <t>Seguridad</t>
  </si>
  <si>
    <t>test_security.py (47)</t>
  </si>
  <si>
    <t>security.input (4)</t>
  </si>
  <si>
    <t>Carga</t>
  </si>
  <si>
    <t>tests/load/load_test.js</t>
  </si>
  <si>
    <t>k6</t>
  </si>
  <si>
    <t>Estática + SCA</t>
  </si>
  <si>
    <t>ruff, pip-audit</t>
  </si>
  <si>
    <t>vue-tsc, ESLint, npm audit</t>
  </si>
  <si>
    <t>CLI</t>
  </si>
  <si>
    <t>TOTAL automatizado: 314 casos (251 backend + 63 frontend)</t>
  </si>
  <si>
    <t>4. Criterios de aceptación, rechazo, suspensión y reanudación</t>
  </si>
  <si>
    <t>Conforme a los tres ejes que define la consigna.</t>
  </si>
  <si>
    <t>4.1 Criterios de salida / terminación (aceptación)</t>
  </si>
  <si>
    <t>#</t>
  </si>
  <si>
    <t>Criterio (eje de la consigna)</t>
  </si>
  <si>
    <t>Umbral</t>
  </si>
  <si>
    <t>Resultado</t>
  </si>
  <si>
    <t>C1</t>
  </si>
  <si>
    <t>Ejecutar el 100% de las pruebas unitarias planificadas</t>
  </si>
  <si>
    <t>100%</t>
  </si>
  <si>
    <t>Logrado</t>
  </si>
  <si>
    <t>C2</t>
  </si>
  <si>
    <t>Alcanzar el porcentaje de casos exitosos definido</t>
  </si>
  <si>
    <t>314/314 en verde</t>
  </si>
  <si>
    <t>C3</t>
  </si>
  <si>
    <t>Corregir los defectos bloqueantes/críticos</t>
  </si>
  <si>
    <t>100% corregidos (0 abiertos)</t>
  </si>
  <si>
    <t>0 abiertos</t>
  </si>
  <si>
    <t>Indicadores complementarios respaldados por evidencia (no constituyen umbral de aceptación por sí solos): cobertura backend 96%, auditoría sin vulnerabilidades high/critical, ruff/ESLint/vue-tsc sin errores.</t>
  </si>
  <si>
    <t>4.2 Criterios de rechazo</t>
  </si>
  <si>
    <t>La campaña se considera NO superada si: no se ejecuta el 100% de las pruebas unitarias; el porcentaje de casos exitosos queda por debajo del umbral definido (100%); o queda algún defecto bloqueante/crítico sin corregir.</t>
  </si>
  <si>
    <t>4.3 Criterios de suspensión</t>
  </si>
  <si>
    <t>Condición de suspensión</t>
  </si>
  <si>
    <t>Detalle</t>
  </si>
  <si>
    <t>Defecto bloqueante</t>
  </si>
  <si>
    <t>Impide ejecutar/colectar una o más suites (p. ej. faltan variables de entorno y rompe el import de app.main, dejando todos los tests sin colectar).</t>
  </si>
  <si>
    <t>Entorno no levanta</t>
  </si>
  <si>
    <t>Dependencias faltantes, broker/servidor caído para E2E o carga.</t>
  </si>
  <si>
    <t>Tasa de fallos &gt; 30%</t>
  </si>
  <si>
    <t>Indica regresión masiva o cambio de contrato no propagado entre repos.</t>
  </si>
  <si>
    <t>Inconsistencia de contrato</t>
  </si>
  <si>
    <t>Backend↔frontend invalida fixtures o schemas.</t>
  </si>
  <si>
    <t>4.4 Criterios de reanudación</t>
  </si>
  <si>
    <t>Condición de reanudación</t>
  </si>
  <si>
    <t>Causa raíz corregida</t>
  </si>
  <si>
    <t>El defecto se corrige y se documenta.</t>
  </si>
  <si>
    <t>Suite afectada en verde</t>
  </si>
  <si>
    <t>La suite vuelve a pasar de forma aislada.</t>
  </si>
  <si>
    <t>Regresión completa</t>
  </si>
  <si>
    <t>Se ejecuta una corrida de regresión completa sin nuevos fallos.</t>
  </si>
  <si>
    <t>Entorno restablecido</t>
  </si>
  <si>
    <t>Variables, servidor y broker restablecidos; se re-verifica el smoke.</t>
  </si>
  <si>
    <t>5. Recursos, roles (RACI) y cronograma</t>
  </si>
  <si>
    <t>R=Responsable · A=Aprobador · C=Consultado · I=Informado.</t>
  </si>
  <si>
    <t>5.1 Recursos</t>
  </si>
  <si>
    <t>Humanos</t>
  </si>
  <si>
    <t>Equipo de 2 integrantes (J. Meléndez, I. Saavedra) con roles cruzados de QA/dev.</t>
  </si>
  <si>
    <t>Herramientas</t>
  </si>
  <si>
    <t>pytest, pytest-cov, httpx, k6, ruff, pip-audit (backend); Vitest, @vue/test-utils, jsdom, Cypress, vue-tsc, ESLint, npm audit (frontend); GitHub Actions (CI).</t>
  </si>
  <si>
    <t>Entorno</t>
  </si>
  <si>
    <t>Windows 11; backend en .venv (Python 3.13 local / 3.11 CI); Node 25 local; .env con valores dummy; despliegue de referencia en Render (backend) y Vercel (frontend).</t>
  </si>
  <si>
    <t>5.2 Matriz de responsabilidades (RACI)</t>
  </si>
  <si>
    <t>Actividad</t>
  </si>
  <si>
    <t>J. Meléndez</t>
  </si>
  <si>
    <t>I. Saavedra</t>
  </si>
  <si>
    <t>Pruebas unitarias y de integración — backend</t>
  </si>
  <si>
    <t>C</t>
  </si>
  <si>
    <t>R/A</t>
  </si>
  <si>
    <t>Pruebas de seguridad — backend (test_security.py)</t>
  </si>
  <si>
    <t>Pruebas de carga (k6)</t>
  </si>
  <si>
    <t>I</t>
  </si>
  <si>
    <t>Pruebas unitarias / integración — frontend (Vitest)</t>
  </si>
  <si>
    <t>Pruebas E2E — frontend (Cypress)</t>
  </si>
  <si>
    <t>Pruebas de regresión (BUG-001, XSS)</t>
  </si>
  <si>
    <t>R</t>
  </si>
  <si>
    <t>A</t>
  </si>
  <si>
    <t>Auditoría de dependencias (pip-audit / npm audit)</t>
  </si>
  <si>
    <t>Consolidación de evidencias y matriz</t>
  </si>
  <si>
    <t>Aprobación final del informe / plan</t>
  </si>
  <si>
    <t>5.3 Cronograma (5 fases)</t>
  </si>
  <si>
    <t>Fase / actividad</t>
  </si>
  <si>
    <t>Responsable</t>
  </si>
  <si>
    <t>Estado</t>
  </si>
  <si>
    <t>1. Preparación de entorno (.venv, node_modules, .env dummy)</t>
  </si>
  <si>
    <t>Ambos</t>
  </si>
  <si>
    <t>Completada</t>
  </si>
  <si>
    <t>2. Pruebas backend (pytest + cobertura + ruff + pip-audit)</t>
  </si>
  <si>
    <t>Completada 2026-06-20</t>
  </si>
  <si>
    <t>3. Pruebas frontend (Vitest + Cypress + type-check + npm audit)</t>
  </si>
  <si>
    <t>Completada 2026-06-19</t>
  </si>
  <si>
    <t>4. Carga (k6 humo) y consolidación de evidencias</t>
  </si>
  <si>
    <t>Baseline OK / carga autenticada pendiente</t>
  </si>
  <si>
    <t>5. Redacción de plan, matriz e informe; aprobación</t>
  </si>
  <si>
    <t>6. Premisas, dependencias y riesgos</t>
  </si>
  <si>
    <t>Cada riesgo con probabilidad, impacto, mitigación y contingencia.</t>
  </si>
  <si>
    <t>6.1 Premisas y dependencias</t>
  </si>
  <si>
    <t>Premisa</t>
  </si>
  <si>
    <t>Dependencias de ambos repos instaladas y reproducibles.</t>
  </si>
  <si>
    <t>Contrato HTTP (schemas, códigos de error) estable durante la campaña.</t>
  </si>
  <si>
    <t>Variables de entorno dummy bastan para los tests; ningún test toca Supabase real.</t>
  </si>
  <si>
    <t>Fixtures de Cypress reflejan fielmente las respuestas reales del backend.</t>
  </si>
  <si>
    <t>Dependencia</t>
  </si>
  <si>
    <t>Con el desarrollo: cambios de contrato obligan a actualizar schemas, fixtures y mocks.</t>
  </si>
  <si>
    <t>Con servicios externos: Supabase (Postgres/PostGIS, Storage, Auth) y broker MQTT.</t>
  </si>
  <si>
    <t>Con herramientas: k6 instalado y servidor levantado para pruebas de carga.</t>
  </si>
  <si>
    <t>6.2 Riesgos y planes de mitigación / contingencia</t>
  </si>
  <si>
    <t>ID</t>
  </si>
  <si>
    <t>Riesgo</t>
  </si>
  <si>
    <t>Prob.</t>
  </si>
  <si>
    <t>Impacto</t>
  </si>
  <si>
    <t>Mitigación</t>
  </si>
  <si>
    <t>Contingencia</t>
  </si>
  <si>
    <t>R-01</t>
  </si>
  <si>
    <t>Falta de variables de entorno rompe el import de app.main y ninguna prueba colecta</t>
  </si>
  <si>
    <t>Media</t>
  </si>
  <si>
    <t>Alto</t>
  </si>
  <si>
    <t>.env dummy versionado en CI y documentado</t>
  </si>
  <si>
    <t>Restaurar .env, re-ejecutar suite (reanudación 4.4)</t>
  </si>
  <si>
    <t>R-02</t>
  </si>
  <si>
    <t>Desfase de contrato backend↔frontend invalida fixtures/schemas</t>
  </si>
  <si>
    <t>Contrato congelado por campaña; docs en 40db-backend/docs</t>
  </si>
  <si>
    <t>Suspender E2E, sincronizar contrato y fixtures, re-correr</t>
  </si>
  <si>
    <t>R-03</t>
  </si>
  <si>
    <t>Dependencia de Supabase como servicio externo (no determinista)</t>
  </si>
  <si>
    <t>Baja</t>
  </si>
  <si>
    <t>Medio</t>
  </si>
  <si>
    <t>Mockear cliente Supabase; validar adaptadores (B-02)</t>
  </si>
  <si>
    <t>Ejecutar solo suites que no requieran servicio real</t>
  </si>
  <si>
    <t>R-04</t>
  </si>
  <si>
    <t>Vulnerabilidad moderate dompurify@3.4.2 vía jspdf (export PDF)</t>
  </si>
  <si>
    <t>Alta</t>
  </si>
  <si>
    <t>Bajo</t>
  </si>
  <si>
    <t>Documentada; ruta de uso acotada al export</t>
  </si>
  <si>
    <t>Actualizar jspdf cuando publique fix; monitoreo npm audit</t>
  </si>
  <si>
    <t>R-05</t>
  </si>
  <si>
    <t>Carga autenticada (B-14) no ejecutada por requerir token/entorno real</t>
  </si>
  <si>
    <t>Escenario ya escrito y parametrizado</t>
  </si>
  <si>
    <t>Ejecutar k6 run con TOKEN en entorno controlado antes de release</t>
  </si>
  <si>
    <t>R-06</t>
  </si>
  <si>
    <t>Ingestor MQTT no probado con hardware real</t>
  </si>
  <si>
    <t>Probar unidad registrar_lectura; aislar arranque MQTT del HTTP</t>
  </si>
  <si>
    <t>Prueba manual con ESP32 + broker en staging</t>
  </si>
  <si>
    <t>R-07</t>
  </si>
  <si>
    <t>Warning de Node 25 (--localstorage-file) en Vitest</t>
  </si>
  <si>
    <t>Nulo</t>
  </si>
  <si>
    <t>Confirmado inofensivo; no afecta resultados</t>
  </si>
  <si>
    <t>Fijar versión de Node si se vuelve ruidoso</t>
  </si>
  <si>
    <t>R-08</t>
  </si>
  <si>
    <t>Equipo reducido (2 personas) — cuello de botella</t>
  </si>
  <si>
    <t>Roles cruzados; automatización en CI</t>
  </si>
  <si>
    <t>Repriorizar suites críticas (seguridad, regresión)</t>
  </si>
  <si>
    <t>7. Matriz de trazabilidad de casos</t>
  </si>
  <si>
    <t>Una fila por suite/funcionalidad. Estado: PASS / PASS c.obs. / N/A.</t>
  </si>
  <si>
    <t>Resumen ejecutivo</t>
  </si>
  <si>
    <t>Tipo de prueba</t>
  </si>
  <si>
    <t>N.º casos</t>
  </si>
  <si>
    <t>Exitosos</t>
  </si>
  <si>
    <t>Fallidos</t>
  </si>
  <si>
    <t>N/A</t>
  </si>
  <si>
    <t>Cobertura</t>
  </si>
  <si>
    <t>Unitarias</t>
  </si>
  <si>
    <t>back 96%</t>
  </si>
  <si>
    <t>Funcionales / E2E</t>
  </si>
  <si>
    <t>Vitest</t>
  </si>
  <si>
    <t>pytest / Vitest + audit</t>
  </si>
  <si>
    <t>TOTAL automatizado</t>
  </si>
  <si>
    <t>Carga (k6, aparte)</t>
  </si>
  <si>
    <t>p95≈17 ms</t>
  </si>
  <si>
    <t>Backend — 40db-backend (pytest, 251 casos, 96% cobertura)</t>
  </si>
  <si>
    <t>Funcionalidad / suite</t>
  </si>
  <si>
    <t>Resultado esperado</t>
  </si>
  <si>
    <t>Obtenido</t>
  </si>
  <si>
    <t>Evidencia</t>
  </si>
  <si>
    <t>Dominio — test_domain.py (13)</t>
  </si>
  <si>
    <t>Errores → código/HTTP correcto; transiciones inválidas rechazadas</t>
  </si>
  <si>
    <t>Igual</t>
  </si>
  <si>
    <t>PASS</t>
  </si>
  <si>
    <t>pytest-cobertura.txt</t>
  </si>
  <si>
    <t>B-02</t>
  </si>
  <si>
    <t>Infraestructura — test_infrastructure.py (11)</t>
  </si>
  <si>
    <t>Queries y mapeo fila→entidad correctos</t>
  </si>
  <si>
    <t>Casos de uso — test_application.py (69)</t>
  </si>
  <si>
    <t>Reglas de negocio aplicadas; validaciones disparan errores</t>
  </si>
  <si>
    <t>B-04</t>
  </si>
  <si>
    <t>Rutas HTTP — test_api.py (36)</t>
  </si>
  <si>
    <t>Status y body de error correctos por rol</t>
  </si>
  <si>
    <t>B-05</t>
  </si>
  <si>
    <t>Humo — test_smoke.py (43)</t>
  </si>
  <si>
    <t>Humo</t>
  </si>
  <si>
    <t>Ningún 500 inesperado; contrato de error estándar</t>
  </si>
  <si>
    <t>B-06</t>
  </si>
  <si>
    <t>Integración E2E API — test_integration.py (32)</t>
  </si>
  <si>
    <t>Colaboración entre capas sin errores de contrato</t>
  </si>
  <si>
    <t>B-07</t>
  </si>
  <si>
    <t>Autenticación obligatoria — test_security.py</t>
  </si>
  <si>
    <t>401/403 sin token</t>
  </si>
  <si>
    <t>B-08</t>
  </si>
  <si>
    <t>Resistencia JWT — test_security.py</t>
  </si>
  <si>
    <t>Rechazo antes de tocar BD (alg=none, firma/exp/aud inválidas...)</t>
  </si>
  <si>
    <t>B-09</t>
  </si>
  <si>
    <t>Autorización por roles — test_security.py</t>
  </si>
  <si>
    <t>403 (decode→cargar usuario→gate de rol)</t>
  </si>
  <si>
    <t>B-10</t>
  </si>
  <si>
    <t>Usuario inhabilitado — test_security.py</t>
  </si>
  <si>
    <t>401 para usuario inactivo/inexistente</t>
  </si>
  <si>
    <t>B-11</t>
  </si>
  <si>
    <t>No fuga de información — test_security.py</t>
  </si>
  <si>
    <t>No expone traza ni detalles</t>
  </si>
  <si>
    <t>B-12</t>
  </si>
  <si>
    <t>Auditoría de dependencias (pip-audit)</t>
  </si>
  <si>
    <t>Seguridad (SCA)</t>
  </si>
  <si>
    <t>Sin vulnerabilidades high/critical</t>
  </si>
  <si>
    <t>No known vulnerabilities</t>
  </si>
  <si>
    <t>pip-audit.txt</t>
  </si>
  <si>
    <t>Carga — tests/load/load_test.js</t>
  </si>
  <si>
    <t>p95&lt;500 ms, error&lt;1%, checks&gt;99%</t>
  </si>
  <si>
    <t>p95≈17 ms, 0% error</t>
  </si>
  <si>
    <t>README + baseline</t>
  </si>
  <si>
    <t>B-14</t>
  </si>
  <si>
    <t>Carga autenticada (opcional)</t>
  </si>
  <si>
    <t>Mismos umbrales con Supabase real + TOKEN</t>
  </si>
  <si>
    <t>No ejecutada (requiere entorno + token)</t>
  </si>
  <si>
    <t>load/README.md</t>
  </si>
  <si>
    <t>Frontend — 40db-frontend (Vitest 32 + Cypress 31 = 63 casos)</t>
  </si>
  <si>
    <t>Archivo / suite</t>
  </si>
  <si>
    <t>Qué valida</t>
  </si>
  <si>
    <t>errors.spec.ts (6)</t>
  </si>
  <si>
    <t>ApiHttpError y guards (401/403)</t>
  </si>
  <si>
    <t>test-unit.txt</t>
  </si>
  <si>
    <t>F-02</t>
  </si>
  <si>
    <t>heatmap-features.spec.ts (10)</t>
  </si>
  <si>
    <t>featureToPoint, intensity, deriveKpis</t>
  </si>
  <si>
    <t>F-03</t>
  </si>
  <si>
    <t>BaseInput.integration.spec.ts (4)</t>
  </si>
  <si>
    <t>update:modelValue, aria-invalid, required/disabled</t>
  </si>
  <si>
    <t>F-04</t>
  </si>
  <si>
    <t>toast.integration.spec.ts (3)</t>
  </si>
  <si>
    <t>Store de toasts: push, auto-cierre, dismiss</t>
  </si>
  <si>
    <t>F-05</t>
  </si>
  <si>
    <t>regression.estado-reporte.spec.ts (5)</t>
  </si>
  <si>
    <t>BUG-001: máquina de estados protegida</t>
  </si>
  <si>
    <t>security.input.spec.ts (4)</t>
  </si>
  <si>
    <t>Seguridad (XSS)</t>
  </si>
  <si>
    <t>Input malicioso se renderiza como texto</t>
  </si>
  <si>
    <t>F-07</t>
  </si>
  <si>
    <t>Landing pública: hero, CTA login</t>
  </si>
  <si>
    <t>e2e.txt</t>
  </si>
  <si>
    <t>F-08</t>
  </si>
  <si>
    <t>02_auth.cy.ts (9)</t>
  </si>
  <si>
    <t>E2E</t>
  </si>
  <si>
    <t>Guards de ruta, tabs login/registro, redirección por rol</t>
  </si>
  <si>
    <t>F-09</t>
  </si>
  <si>
    <t>03_vecino.cy.ts (6)</t>
  </si>
  <si>
    <t>Home vecino, KPIs, modal reporte, mis reportes, detalle</t>
  </si>
  <si>
    <t>F-10</t>
  </si>
  <si>
    <t>04_funcionario.cy.ts (7)</t>
  </si>
  <si>
    <t>KPIs estado, tabla, filtro, detalle+comentario+cambio estado</t>
  </si>
  <si>
    <t>F-11</t>
  </si>
  <si>
    <t>05_admin.cy.ts (7)</t>
  </si>
  <si>
    <t>Dashboard, KPIs sensores, accesos, tabla, navegación</t>
  </si>
  <si>
    <t>F-12</t>
  </si>
  <si>
    <t>npm audit --omit=dev</t>
  </si>
  <si>
    <t>0 high/critical</t>
  </si>
  <si>
    <t>0 high/critical, 1 moderate (dompurify/jspdf)</t>
  </si>
  <si>
    <t>PASS c.obs.</t>
  </si>
  <si>
    <t>npm-audit.txt</t>
  </si>
  <si>
    <t>F-13</t>
  </si>
  <si>
    <t>type-check + lint</t>
  </si>
  <si>
    <t>Estática</t>
  </si>
  <si>
    <t>vue-tsc + ESLint sin errores</t>
  </si>
  <si>
    <t>Sin errores</t>
  </si>
  <si>
    <t>npm run verify</t>
  </si>
  <si>
    <t>Finalizada 2026-06-21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</si>
</sst>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20"/>
      <color rgb="FF1F3864"/>
      <name val="Arial"/>
    </font>
    <font>
      <i/>
      <sz val="12"/>
      <color rgb="FF2E5496"/>
      <name val="Arial"/>
    </font>
    <font>
      <b/>
      <sz val="11"/>
      <color rgb="FF000000"/>
      <name val="Arial"/>
    </font>
    <font>
      <sz val="11"/>
      <color rgb="FF000000"/>
      <name val="Arial"/>
    </font>
    <font>
      <b/>
      <sz val="11"/>
      <color rgb="FF1F3864"/>
      <name val="Arial"/>
    </font>
    <font>
      <sz val="10"/>
      <color rgb="FF000000"/>
      <name val="Arial"/>
    </font>
    <font>
      <b/>
      <sz val="15"/>
      <color rgb="FFFFFFFF"/>
      <name val="Arial"/>
    </font>
    <font>
      <i/>
      <sz val="9"/>
      <color rgb="FFFFFFFF"/>
      <name val="Arial"/>
    </font>
    <font>
      <b/>
      <sz val="10"/>
      <color rgb="FF000000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i/>
      <sz val="9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EAF0FA"/>
      </patternFill>
    </fill>
    <fill>
      <patternFill patternType="solid">
        <fgColor rgb="FFC6EFCE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center" vertical="top" wrapText="1"/>
    </xf>
    <xf numFmtId="0" fontId="6" fillId="7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9" fillId="7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0" fillId="0" borderId="2" xfId="0" applyBorder="1"/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8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top" wrapText="1"/>
    </xf>
    <xf numFmtId="0" fontId="0" fillId="0" borderId="3" xfId="0" applyBorder="1"/>
    <xf numFmtId="0" fontId="12" fillId="3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3:C22"/>
  <sheetViews>
    <sheetView showGridLines="0" workbookViewId="0">
      <selection activeCell="F7" sqref="F7"/>
    </sheetView>
  </sheetViews>
  <sheetFormatPr defaultRowHeight="15" x14ac:dyDescent="0.25"/>
  <cols>
    <col min="1" max="1" width="4" customWidth="1"/>
    <col min="2" max="2" width="34" customWidth="1"/>
    <col min="3" max="3" width="40" customWidth="1"/>
    <col min="4" max="4" width="4" customWidth="1"/>
  </cols>
  <sheetData>
    <row r="3" spans="2:3" ht="36" customHeight="1" x14ac:dyDescent="0.25">
      <c r="B3" s="18" t="s">
        <v>0</v>
      </c>
      <c r="C3" s="19"/>
    </row>
    <row r="4" spans="2:3" ht="21.95" customHeight="1" x14ac:dyDescent="0.25">
      <c r="B4" s="20" t="s">
        <v>1</v>
      </c>
      <c r="C4" s="19"/>
    </row>
    <row r="6" spans="2:3" ht="49.5" customHeight="1" x14ac:dyDescent="0.25">
      <c r="B6" s="1" t="s">
        <v>2</v>
      </c>
      <c r="C6" s="2" t="s">
        <v>3</v>
      </c>
    </row>
    <row r="7" spans="2:3" ht="39.75" customHeight="1" x14ac:dyDescent="0.25">
      <c r="B7" s="1" t="s">
        <v>4</v>
      </c>
      <c r="C7" s="2" t="s">
        <v>5</v>
      </c>
    </row>
    <row r="8" spans="2:3" ht="21.95" customHeight="1" x14ac:dyDescent="0.25">
      <c r="B8" s="1" t="s">
        <v>6</v>
      </c>
      <c r="C8" s="2" t="s">
        <v>7</v>
      </c>
    </row>
    <row r="9" spans="2:3" ht="21.95" customHeight="1" x14ac:dyDescent="0.25">
      <c r="B9" s="1" t="s">
        <v>8</v>
      </c>
      <c r="C9" s="2" t="s">
        <v>9</v>
      </c>
    </row>
    <row r="10" spans="2:3" ht="21.95" customHeight="1" x14ac:dyDescent="0.25">
      <c r="B10" s="1" t="s">
        <v>10</v>
      </c>
      <c r="C10" s="2" t="s">
        <v>11</v>
      </c>
    </row>
    <row r="11" spans="2:3" ht="39.75" customHeight="1" x14ac:dyDescent="0.25">
      <c r="B11" s="1" t="s">
        <v>12</v>
      </c>
      <c r="C11" s="2" t="s">
        <v>13</v>
      </c>
    </row>
    <row r="12" spans="2:3" ht="45" customHeight="1" x14ac:dyDescent="0.25">
      <c r="B12" s="1" t="s">
        <v>14</v>
      </c>
      <c r="C12" s="2" t="s">
        <v>15</v>
      </c>
    </row>
    <row r="13" spans="2:3" ht="40.5" customHeight="1" x14ac:dyDescent="0.25">
      <c r="B13" s="1" t="s">
        <v>16</v>
      </c>
      <c r="C13" s="2" t="s">
        <v>17</v>
      </c>
    </row>
    <row r="15" spans="2:3" x14ac:dyDescent="0.25">
      <c r="B15" s="3" t="s">
        <v>18</v>
      </c>
    </row>
    <row r="16" spans="2:3" x14ac:dyDescent="0.25">
      <c r="B16" s="16" t="s">
        <v>19</v>
      </c>
      <c r="C16" s="17"/>
    </row>
    <row r="17" spans="2:3" x14ac:dyDescent="0.25">
      <c r="B17" s="16" t="s">
        <v>20</v>
      </c>
      <c r="C17" s="17"/>
    </row>
    <row r="18" spans="2:3" x14ac:dyDescent="0.25">
      <c r="B18" s="16" t="s">
        <v>21</v>
      </c>
      <c r="C18" s="17"/>
    </row>
    <row r="19" spans="2:3" x14ac:dyDescent="0.25">
      <c r="B19" s="16" t="s">
        <v>22</v>
      </c>
      <c r="C19" s="17"/>
    </row>
    <row r="20" spans="2:3" x14ac:dyDescent="0.25">
      <c r="B20" s="16" t="s">
        <v>23</v>
      </c>
      <c r="C20" s="17"/>
    </row>
    <row r="21" spans="2:3" x14ac:dyDescent="0.25">
      <c r="B21" s="16" t="s">
        <v>24</v>
      </c>
      <c r="C21" s="17"/>
    </row>
    <row r="22" spans="2:3" x14ac:dyDescent="0.25">
      <c r="B22" s="16" t="s">
        <v>25</v>
      </c>
      <c r="C22" s="17"/>
    </row>
  </sheetData>
  <mergeCells count="9">
    <mergeCell ref="B22:C22"/>
    <mergeCell ref="B17:C17"/>
    <mergeCell ref="B18:C18"/>
    <mergeCell ref="B4:C4"/>
    <mergeCell ref="B21:C21"/>
    <mergeCell ref="B16:C16"/>
    <mergeCell ref="B3:C3"/>
    <mergeCell ref="B19:C19"/>
    <mergeCell ref="B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496"/>
  </sheetPr>
  <dimension ref="A1:B10"/>
  <sheetViews>
    <sheetView showGridLines="0" workbookViewId="0">
      <selection sqref="A1:B1"/>
    </sheetView>
  </sheetViews>
  <sheetFormatPr defaultRowHeight="15" x14ac:dyDescent="0.25"/>
  <cols>
    <col min="1" max="1" width="22" customWidth="1"/>
    <col min="2" max="2" width="95" customWidth="1"/>
  </cols>
  <sheetData>
    <row r="1" spans="1:2" ht="30" customHeight="1" x14ac:dyDescent="0.25">
      <c r="A1" s="22" t="s">
        <v>26</v>
      </c>
      <c r="B1" s="19"/>
    </row>
    <row r="2" spans="1:2" ht="18" customHeight="1" x14ac:dyDescent="0.25">
      <c r="A2" s="21" t="s">
        <v>27</v>
      </c>
      <c r="B2" s="19"/>
    </row>
    <row r="4" spans="1:2" ht="84" customHeight="1" x14ac:dyDescent="0.25">
      <c r="A4" s="5" t="s">
        <v>28</v>
      </c>
      <c r="B4" s="4" t="s">
        <v>29</v>
      </c>
    </row>
    <row r="5" spans="1:2" ht="98.1" customHeight="1" x14ac:dyDescent="0.25">
      <c r="A5" s="5" t="s">
        <v>30</v>
      </c>
      <c r="B5" s="4" t="s">
        <v>31</v>
      </c>
    </row>
    <row r="6" spans="1:2" ht="56.1" customHeight="1" x14ac:dyDescent="0.25">
      <c r="A6" s="5" t="s">
        <v>32</v>
      </c>
      <c r="B6" s="4" t="s">
        <v>33</v>
      </c>
    </row>
    <row r="7" spans="1:2" ht="69.95" customHeight="1" x14ac:dyDescent="0.25">
      <c r="A7" s="5" t="s">
        <v>34</v>
      </c>
      <c r="B7" s="4" t="s">
        <v>35</v>
      </c>
    </row>
    <row r="8" spans="1:2" ht="69.95" customHeight="1" x14ac:dyDescent="0.25">
      <c r="A8" s="5" t="s">
        <v>36</v>
      </c>
      <c r="B8" s="4" t="s">
        <v>37</v>
      </c>
    </row>
    <row r="9" spans="1:2" ht="56.1" customHeight="1" x14ac:dyDescent="0.25">
      <c r="A9" s="5" t="s">
        <v>38</v>
      </c>
      <c r="B9" s="4" t="s">
        <v>39</v>
      </c>
    </row>
    <row r="10" spans="1:2" ht="56.1" customHeight="1" x14ac:dyDescent="0.25">
      <c r="A10" s="5" t="s">
        <v>40</v>
      </c>
      <c r="B10" s="4" t="s">
        <v>41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showGridLines="0" tabSelected="1" workbookViewId="0">
      <selection sqref="A1:C1"/>
    </sheetView>
  </sheetViews>
  <sheetFormatPr defaultRowHeight="15" x14ac:dyDescent="0.25"/>
  <cols>
    <col min="1" max="1" width="42" customWidth="1"/>
    <col min="2" max="2" width="40" customWidth="1"/>
    <col min="3" max="3" width="44" customWidth="1"/>
  </cols>
  <sheetData>
    <row r="1" spans="1:3" ht="30" customHeight="1" x14ac:dyDescent="0.25">
      <c r="A1" s="22" t="s">
        <v>42</v>
      </c>
      <c r="B1" s="19"/>
      <c r="C1" s="19"/>
    </row>
    <row r="2" spans="1:3" ht="18" customHeight="1" x14ac:dyDescent="0.25">
      <c r="A2" s="21" t="s">
        <v>43</v>
      </c>
      <c r="B2" s="19"/>
      <c r="C2" s="19"/>
    </row>
    <row r="4" spans="1:3" ht="21.95" customHeight="1" x14ac:dyDescent="0.25">
      <c r="A4" s="23" t="s">
        <v>44</v>
      </c>
      <c r="B4" s="19"/>
      <c r="C4" s="19"/>
    </row>
    <row r="5" spans="1:3" ht="27.95" customHeight="1" x14ac:dyDescent="0.25">
      <c r="A5" s="6" t="s">
        <v>45</v>
      </c>
      <c r="B5" s="6" t="s">
        <v>46</v>
      </c>
      <c r="C5" s="6" t="s">
        <v>47</v>
      </c>
    </row>
    <row r="6" spans="1:3" ht="25.5" x14ac:dyDescent="0.25">
      <c r="A6" s="4" t="s">
        <v>48</v>
      </c>
      <c r="B6" s="4" t="s">
        <v>49</v>
      </c>
      <c r="C6" s="4" t="s">
        <v>50</v>
      </c>
    </row>
    <row r="7" spans="1:3" x14ac:dyDescent="0.25">
      <c r="A7" s="4" t="s">
        <v>51</v>
      </c>
      <c r="B7" s="4" t="s">
        <v>52</v>
      </c>
      <c r="C7" s="4" t="s">
        <v>53</v>
      </c>
    </row>
    <row r="8" spans="1:3" ht="25.5" x14ac:dyDescent="0.25">
      <c r="A8" s="4" t="s">
        <v>54</v>
      </c>
      <c r="B8" s="4" t="s">
        <v>55</v>
      </c>
      <c r="C8" s="4" t="s">
        <v>56</v>
      </c>
    </row>
    <row r="9" spans="1:3" x14ac:dyDescent="0.25">
      <c r="A9" s="4" t="s">
        <v>57</v>
      </c>
      <c r="B9" s="4" t="s">
        <v>58</v>
      </c>
      <c r="C9" s="4" t="s">
        <v>59</v>
      </c>
    </row>
    <row r="10" spans="1:3" x14ac:dyDescent="0.25">
      <c r="A10" s="4" t="s">
        <v>60</v>
      </c>
      <c r="B10" s="4" t="s">
        <v>52</v>
      </c>
      <c r="C10" s="4" t="s">
        <v>61</v>
      </c>
    </row>
    <row r="11" spans="1:3" x14ac:dyDescent="0.25">
      <c r="A11" s="4" t="s">
        <v>62</v>
      </c>
      <c r="B11" s="4" t="s">
        <v>63</v>
      </c>
      <c r="C11" s="4" t="s">
        <v>64</v>
      </c>
    </row>
    <row r="12" spans="1:3" x14ac:dyDescent="0.25">
      <c r="A12" s="4" t="s">
        <v>65</v>
      </c>
      <c r="B12" s="4" t="s">
        <v>66</v>
      </c>
      <c r="C12" s="4" t="s">
        <v>67</v>
      </c>
    </row>
    <row r="13" spans="1:3" x14ac:dyDescent="0.25">
      <c r="A13" s="4" t="s">
        <v>68</v>
      </c>
      <c r="B13" s="4" t="s">
        <v>58</v>
      </c>
      <c r="C13" s="4" t="s">
        <v>61</v>
      </c>
    </row>
    <row r="14" spans="1:3" x14ac:dyDescent="0.25">
      <c r="A14" s="4" t="s">
        <v>69</v>
      </c>
      <c r="B14" s="4" t="s">
        <v>66</v>
      </c>
      <c r="C14" s="4" t="s">
        <v>70</v>
      </c>
    </row>
    <row r="15" spans="1:3" ht="25.5" x14ac:dyDescent="0.25">
      <c r="A15" s="4" t="s">
        <v>71</v>
      </c>
      <c r="B15" s="4" t="s">
        <v>72</v>
      </c>
      <c r="C15" s="4" t="s">
        <v>73</v>
      </c>
    </row>
    <row r="16" spans="1:3" x14ac:dyDescent="0.25">
      <c r="A16" s="4" t="s">
        <v>74</v>
      </c>
      <c r="B16" s="4" t="s">
        <v>72</v>
      </c>
      <c r="C16" s="4" t="s">
        <v>75</v>
      </c>
    </row>
    <row r="17" spans="1:3" x14ac:dyDescent="0.25">
      <c r="A17" s="4" t="s">
        <v>76</v>
      </c>
      <c r="B17" s="4" t="s">
        <v>77</v>
      </c>
      <c r="C17" s="4" t="s">
        <v>78</v>
      </c>
    </row>
    <row r="18" spans="1:3" ht="25.5" x14ac:dyDescent="0.25">
      <c r="A18" s="4" t="s">
        <v>79</v>
      </c>
      <c r="B18" s="4" t="s">
        <v>80</v>
      </c>
      <c r="C18" s="4" t="s">
        <v>81</v>
      </c>
    </row>
    <row r="19" spans="1:3" x14ac:dyDescent="0.25">
      <c r="A19" s="4" t="s">
        <v>82</v>
      </c>
      <c r="B19" s="4" t="s">
        <v>83</v>
      </c>
      <c r="C19" s="4" t="s">
        <v>84</v>
      </c>
    </row>
    <row r="21" spans="1:3" ht="21.95" customHeight="1" x14ac:dyDescent="0.25">
      <c r="A21" s="23" t="s">
        <v>85</v>
      </c>
      <c r="B21" s="19"/>
      <c r="C21" s="19"/>
    </row>
    <row r="22" spans="1:3" ht="27.95" customHeight="1" x14ac:dyDescent="0.25">
      <c r="A22" s="6" t="s">
        <v>86</v>
      </c>
      <c r="B22" s="6" t="s">
        <v>87</v>
      </c>
      <c r="C22" s="6" t="s">
        <v>88</v>
      </c>
    </row>
    <row r="23" spans="1:3" ht="25.5" x14ac:dyDescent="0.25">
      <c r="A23" s="4" t="s">
        <v>89</v>
      </c>
      <c r="B23" s="4" t="s">
        <v>90</v>
      </c>
      <c r="C23" s="4" t="s">
        <v>91</v>
      </c>
    </row>
    <row r="24" spans="1:3" ht="25.5" x14ac:dyDescent="0.25">
      <c r="A24" s="4" t="s">
        <v>92</v>
      </c>
      <c r="B24" s="4" t="s">
        <v>93</v>
      </c>
      <c r="C24" s="4" t="s">
        <v>94</v>
      </c>
    </row>
    <row r="25" spans="1:3" ht="25.5" x14ac:dyDescent="0.25">
      <c r="A25" s="4" t="s">
        <v>95</v>
      </c>
      <c r="B25" s="4" t="s">
        <v>96</v>
      </c>
      <c r="C25" s="4" t="s">
        <v>97</v>
      </c>
    </row>
    <row r="26" spans="1:3" ht="25.5" x14ac:dyDescent="0.25">
      <c r="A26" s="4" t="s">
        <v>98</v>
      </c>
      <c r="B26" s="4" t="s">
        <v>99</v>
      </c>
      <c r="C26" s="4" t="s">
        <v>100</v>
      </c>
    </row>
    <row r="27" spans="1:3" ht="25.5" x14ac:dyDescent="0.25">
      <c r="A27" s="4" t="s">
        <v>101</v>
      </c>
      <c r="B27" s="4" t="s">
        <v>102</v>
      </c>
      <c r="C27" s="4" t="s">
        <v>103</v>
      </c>
    </row>
    <row r="28" spans="1:3" ht="25.5" x14ac:dyDescent="0.25">
      <c r="A28" s="4" t="s">
        <v>104</v>
      </c>
      <c r="B28" s="4" t="s">
        <v>105</v>
      </c>
      <c r="C28" s="4" t="s">
        <v>106</v>
      </c>
    </row>
  </sheetData>
  <mergeCells count="4">
    <mergeCell ref="A1:C1"/>
    <mergeCell ref="A4:C4"/>
    <mergeCell ref="A21:C2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showGridLines="0" workbookViewId="0">
      <selection sqref="A1:D1"/>
    </sheetView>
  </sheetViews>
  <sheetFormatPr defaultRowHeight="15" x14ac:dyDescent="0.25"/>
  <cols>
    <col min="1" max="1" width="18" customWidth="1"/>
    <col min="2" max="2" width="42" customWidth="1"/>
    <col min="3" max="3" width="34" customWidth="1"/>
    <col min="4" max="4" width="24" customWidth="1"/>
  </cols>
  <sheetData>
    <row r="1" spans="1:4" ht="30" customHeight="1" x14ac:dyDescent="0.25">
      <c r="A1" s="22" t="s">
        <v>107</v>
      </c>
      <c r="B1" s="19"/>
      <c r="C1" s="19"/>
      <c r="D1" s="19"/>
    </row>
    <row r="2" spans="1:4" ht="18" customHeight="1" x14ac:dyDescent="0.25">
      <c r="A2" s="21" t="s">
        <v>108</v>
      </c>
      <c r="B2" s="19"/>
      <c r="C2" s="19"/>
      <c r="D2" s="19"/>
    </row>
    <row r="4" spans="1:4" ht="21.95" customHeight="1" x14ac:dyDescent="0.25">
      <c r="A4" s="23" t="s">
        <v>109</v>
      </c>
      <c r="B4" s="19"/>
      <c r="C4" s="19"/>
      <c r="D4" s="19"/>
    </row>
    <row r="5" spans="1:4" ht="27.95" customHeight="1" x14ac:dyDescent="0.25">
      <c r="A5" s="6" t="s">
        <v>110</v>
      </c>
      <c r="B5" s="6" t="s">
        <v>111</v>
      </c>
    </row>
    <row r="6" spans="1:4" x14ac:dyDescent="0.25">
      <c r="A6" s="7" t="s">
        <v>112</v>
      </c>
      <c r="B6" s="16" t="s">
        <v>113</v>
      </c>
      <c r="C6" s="19"/>
      <c r="D6" s="19"/>
    </row>
    <row r="7" spans="1:4" x14ac:dyDescent="0.25">
      <c r="A7" s="7" t="s">
        <v>114</v>
      </c>
      <c r="B7" s="16" t="s">
        <v>115</v>
      </c>
      <c r="C7" s="19"/>
      <c r="D7" s="19"/>
    </row>
    <row r="8" spans="1:4" x14ac:dyDescent="0.25">
      <c r="A8" s="7" t="s">
        <v>116</v>
      </c>
      <c r="B8" s="16" t="s">
        <v>117</v>
      </c>
      <c r="C8" s="19"/>
      <c r="D8" s="19"/>
    </row>
    <row r="9" spans="1:4" x14ac:dyDescent="0.25">
      <c r="A9" s="7" t="s">
        <v>118</v>
      </c>
      <c r="B9" s="16" t="s">
        <v>119</v>
      </c>
      <c r="C9" s="19"/>
      <c r="D9" s="19"/>
    </row>
    <row r="11" spans="1:4" ht="21.95" customHeight="1" x14ac:dyDescent="0.25">
      <c r="A11" s="23" t="s">
        <v>120</v>
      </c>
      <c r="B11" s="19"/>
      <c r="C11" s="19"/>
      <c r="D11" s="19"/>
    </row>
    <row r="12" spans="1:4" ht="27.95" customHeight="1" x14ac:dyDescent="0.25">
      <c r="A12" s="6" t="s">
        <v>121</v>
      </c>
      <c r="B12" s="6" t="s">
        <v>122</v>
      </c>
      <c r="C12" s="6" t="s">
        <v>123</v>
      </c>
    </row>
    <row r="13" spans="1:4" ht="51" x14ac:dyDescent="0.25">
      <c r="A13" s="4" t="s">
        <v>124</v>
      </c>
      <c r="B13" s="4" t="s">
        <v>125</v>
      </c>
      <c r="C13" s="4" t="s">
        <v>126</v>
      </c>
    </row>
    <row r="14" spans="1:4" ht="38.25" x14ac:dyDescent="0.25">
      <c r="A14" s="4" t="s">
        <v>76</v>
      </c>
      <c r="B14" s="4" t="s">
        <v>127</v>
      </c>
      <c r="C14" s="4" t="s">
        <v>128</v>
      </c>
    </row>
    <row r="15" spans="1:4" ht="25.5" x14ac:dyDescent="0.25">
      <c r="A15" s="4" t="s">
        <v>129</v>
      </c>
      <c r="B15" s="4" t="s">
        <v>130</v>
      </c>
      <c r="C15" s="4" t="s">
        <v>75</v>
      </c>
    </row>
    <row r="17" spans="1:4" ht="21.95" customHeight="1" x14ac:dyDescent="0.25">
      <c r="A17" s="23" t="s">
        <v>131</v>
      </c>
      <c r="B17" s="19"/>
      <c r="C17" s="19"/>
      <c r="D17" s="19"/>
    </row>
    <row r="18" spans="1:4" ht="27.95" customHeight="1" x14ac:dyDescent="0.25">
      <c r="A18" s="6" t="s">
        <v>132</v>
      </c>
      <c r="B18" s="6" t="s">
        <v>133</v>
      </c>
      <c r="C18" s="6" t="s">
        <v>134</v>
      </c>
      <c r="D18" s="6" t="s">
        <v>135</v>
      </c>
    </row>
    <row r="19" spans="1:4" x14ac:dyDescent="0.25">
      <c r="A19" s="4" t="s">
        <v>72</v>
      </c>
      <c r="B19" s="4" t="s">
        <v>136</v>
      </c>
      <c r="C19" s="4" t="s">
        <v>137</v>
      </c>
      <c r="D19" s="4" t="s">
        <v>138</v>
      </c>
    </row>
    <row r="20" spans="1:4" ht="25.5" x14ac:dyDescent="0.25">
      <c r="A20" s="4" t="s">
        <v>66</v>
      </c>
      <c r="B20" s="4" t="s">
        <v>139</v>
      </c>
      <c r="C20" s="4" t="s">
        <v>140</v>
      </c>
      <c r="D20" s="4" t="s">
        <v>141</v>
      </c>
    </row>
    <row r="21" spans="1:4" x14ac:dyDescent="0.25">
      <c r="A21" s="4" t="s">
        <v>142</v>
      </c>
      <c r="B21" s="4" t="s">
        <v>143</v>
      </c>
      <c r="C21" s="4" t="s">
        <v>144</v>
      </c>
      <c r="D21" s="4" t="s">
        <v>145</v>
      </c>
    </row>
    <row r="22" spans="1:4" ht="25.5" x14ac:dyDescent="0.25">
      <c r="A22" s="4" t="s">
        <v>146</v>
      </c>
      <c r="B22" s="4" t="s">
        <v>147</v>
      </c>
      <c r="C22" s="4" t="s">
        <v>148</v>
      </c>
      <c r="D22" s="4" t="s">
        <v>149</v>
      </c>
    </row>
    <row r="23" spans="1:4" x14ac:dyDescent="0.25">
      <c r="A23" s="4" t="s">
        <v>150</v>
      </c>
      <c r="B23" s="4" t="s">
        <v>151</v>
      </c>
      <c r="C23" s="4" t="s">
        <v>152</v>
      </c>
      <c r="D23" s="4" t="s">
        <v>138</v>
      </c>
    </row>
    <row r="24" spans="1:4" x14ac:dyDescent="0.25">
      <c r="A24" s="4" t="s">
        <v>153</v>
      </c>
      <c r="B24" s="4" t="s">
        <v>154</v>
      </c>
      <c r="C24" s="4" t="s">
        <v>155</v>
      </c>
      <c r="D24" s="4" t="s">
        <v>138</v>
      </c>
    </row>
    <row r="25" spans="1:4" x14ac:dyDescent="0.25">
      <c r="A25" s="4" t="s">
        <v>156</v>
      </c>
      <c r="B25" s="4" t="s">
        <v>157</v>
      </c>
      <c r="C25" s="4" t="s">
        <v>147</v>
      </c>
      <c r="D25" s="4" t="s">
        <v>158</v>
      </c>
    </row>
    <row r="26" spans="1:4" x14ac:dyDescent="0.25">
      <c r="A26" s="4" t="s">
        <v>159</v>
      </c>
      <c r="B26" s="4" t="s">
        <v>160</v>
      </c>
      <c r="C26" s="4" t="s">
        <v>161</v>
      </c>
      <c r="D26" s="4" t="s">
        <v>162</v>
      </c>
    </row>
    <row r="27" spans="1:4" x14ac:dyDescent="0.25">
      <c r="A27" s="24" t="s">
        <v>163</v>
      </c>
      <c r="B27" s="25"/>
      <c r="C27" s="25"/>
      <c r="D27" s="17"/>
    </row>
  </sheetData>
  <mergeCells count="10">
    <mergeCell ref="A1:D1"/>
    <mergeCell ref="A17:D17"/>
    <mergeCell ref="A27:D27"/>
    <mergeCell ref="A4:D4"/>
    <mergeCell ref="B8:D8"/>
    <mergeCell ref="B9:D9"/>
    <mergeCell ref="A2:D2"/>
    <mergeCell ref="A11:D11"/>
    <mergeCell ref="B7:D7"/>
    <mergeCell ref="B6:D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6"/>
  <sheetViews>
    <sheetView showGridLines="0" workbookViewId="0">
      <selection sqref="A1:D1"/>
    </sheetView>
  </sheetViews>
  <sheetFormatPr defaultRowHeight="15" x14ac:dyDescent="0.25"/>
  <cols>
    <col min="1" max="1" width="40" customWidth="1"/>
    <col min="2" max="2" width="74" customWidth="1"/>
    <col min="3" max="3" width="26" customWidth="1"/>
    <col min="4" max="4" width="22" customWidth="1"/>
  </cols>
  <sheetData>
    <row r="1" spans="1:4" ht="30" customHeight="1" x14ac:dyDescent="0.25">
      <c r="A1" s="22" t="s">
        <v>164</v>
      </c>
      <c r="B1" s="19"/>
      <c r="C1" s="19"/>
      <c r="D1" s="19"/>
    </row>
    <row r="2" spans="1:4" ht="18" customHeight="1" x14ac:dyDescent="0.25">
      <c r="A2" s="21" t="s">
        <v>165</v>
      </c>
      <c r="B2" s="19"/>
      <c r="C2" s="19"/>
      <c r="D2" s="19"/>
    </row>
    <row r="4" spans="1:4" ht="21.95" customHeight="1" x14ac:dyDescent="0.25">
      <c r="A4" s="23" t="s">
        <v>166</v>
      </c>
      <c r="B4" s="19"/>
      <c r="C4" s="19"/>
      <c r="D4" s="19"/>
    </row>
    <row r="5" spans="1:4" ht="27.95" customHeight="1" x14ac:dyDescent="0.25">
      <c r="A5" s="6" t="s">
        <v>167</v>
      </c>
      <c r="B5" s="6" t="s">
        <v>168</v>
      </c>
      <c r="C5" s="6" t="s">
        <v>169</v>
      </c>
      <c r="D5" s="6" t="s">
        <v>170</v>
      </c>
    </row>
    <row r="6" spans="1:4" x14ac:dyDescent="0.25">
      <c r="A6" s="9" t="s">
        <v>171</v>
      </c>
      <c r="B6" s="10" t="s">
        <v>172</v>
      </c>
      <c r="C6" s="9" t="s">
        <v>173</v>
      </c>
      <c r="D6" s="9" t="s">
        <v>174</v>
      </c>
    </row>
    <row r="7" spans="1:4" x14ac:dyDescent="0.25">
      <c r="A7" s="9" t="s">
        <v>175</v>
      </c>
      <c r="B7" s="10" t="s">
        <v>176</v>
      </c>
      <c r="C7" s="9" t="s">
        <v>173</v>
      </c>
      <c r="D7" s="9" t="s">
        <v>177</v>
      </c>
    </row>
    <row r="8" spans="1:4" x14ac:dyDescent="0.25">
      <c r="A8" s="9" t="s">
        <v>178</v>
      </c>
      <c r="B8" s="10" t="s">
        <v>179</v>
      </c>
      <c r="C8" s="9" t="s">
        <v>180</v>
      </c>
      <c r="D8" s="9" t="s">
        <v>181</v>
      </c>
    </row>
    <row r="9" spans="1:4" x14ac:dyDescent="0.25">
      <c r="A9" s="26" t="s">
        <v>182</v>
      </c>
      <c r="B9" s="25"/>
      <c r="C9" s="25"/>
      <c r="D9" s="17"/>
    </row>
    <row r="11" spans="1:4" ht="21.95" customHeight="1" x14ac:dyDescent="0.25">
      <c r="A11" s="23" t="s">
        <v>183</v>
      </c>
      <c r="B11" s="19"/>
      <c r="C11" s="19"/>
      <c r="D11" s="19"/>
    </row>
    <row r="12" spans="1:4" ht="39.950000000000003" customHeight="1" x14ac:dyDescent="0.25">
      <c r="A12" s="27" t="s">
        <v>184</v>
      </c>
      <c r="B12" s="25"/>
      <c r="C12" s="25"/>
      <c r="D12" s="17"/>
    </row>
    <row r="14" spans="1:4" ht="21.95" customHeight="1" x14ac:dyDescent="0.25">
      <c r="A14" s="23" t="s">
        <v>185</v>
      </c>
      <c r="B14" s="19"/>
      <c r="C14" s="19"/>
      <c r="D14" s="19"/>
    </row>
    <row r="15" spans="1:4" ht="27.95" customHeight="1" x14ac:dyDescent="0.25">
      <c r="A15" s="6" t="s">
        <v>186</v>
      </c>
      <c r="B15" s="6" t="s">
        <v>187</v>
      </c>
    </row>
    <row r="16" spans="1:4" ht="25.5" x14ac:dyDescent="0.25">
      <c r="A16" s="4" t="s">
        <v>188</v>
      </c>
      <c r="B16" s="4" t="s">
        <v>189</v>
      </c>
    </row>
    <row r="17" spans="1:4" x14ac:dyDescent="0.25">
      <c r="A17" s="4" t="s">
        <v>190</v>
      </c>
      <c r="B17" s="4" t="s">
        <v>191</v>
      </c>
    </row>
    <row r="18" spans="1:4" x14ac:dyDescent="0.25">
      <c r="A18" s="4" t="s">
        <v>192</v>
      </c>
      <c r="B18" s="4" t="s">
        <v>193</v>
      </c>
    </row>
    <row r="19" spans="1:4" x14ac:dyDescent="0.25">
      <c r="A19" s="4" t="s">
        <v>194</v>
      </c>
      <c r="B19" s="4" t="s">
        <v>195</v>
      </c>
    </row>
    <row r="21" spans="1:4" ht="21.95" customHeight="1" x14ac:dyDescent="0.25">
      <c r="A21" s="23" t="s">
        <v>196</v>
      </c>
      <c r="B21" s="19"/>
      <c r="C21" s="19"/>
      <c r="D21" s="19"/>
    </row>
    <row r="22" spans="1:4" ht="27.95" customHeight="1" x14ac:dyDescent="0.25">
      <c r="A22" s="6" t="s">
        <v>197</v>
      </c>
      <c r="B22" s="6" t="s">
        <v>187</v>
      </c>
    </row>
    <row r="23" spans="1:4" x14ac:dyDescent="0.25">
      <c r="A23" s="4" t="s">
        <v>198</v>
      </c>
      <c r="B23" s="4" t="s">
        <v>199</v>
      </c>
    </row>
    <row r="24" spans="1:4" x14ac:dyDescent="0.25">
      <c r="A24" s="4" t="s">
        <v>200</v>
      </c>
      <c r="B24" s="4" t="s">
        <v>201</v>
      </c>
    </row>
    <row r="25" spans="1:4" x14ac:dyDescent="0.25">
      <c r="A25" s="4" t="s">
        <v>202</v>
      </c>
      <c r="B25" s="4" t="s">
        <v>203</v>
      </c>
    </row>
    <row r="26" spans="1:4" x14ac:dyDescent="0.25">
      <c r="A26" s="4" t="s">
        <v>204</v>
      </c>
      <c r="B26" s="4" t="s">
        <v>205</v>
      </c>
    </row>
  </sheetData>
  <mergeCells count="8">
    <mergeCell ref="A1:D1"/>
    <mergeCell ref="A9:D9"/>
    <mergeCell ref="A12:D12"/>
    <mergeCell ref="A4:D4"/>
    <mergeCell ref="A21:D21"/>
    <mergeCell ref="A2:D2"/>
    <mergeCell ref="A11:D11"/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7"/>
  <sheetViews>
    <sheetView showGridLines="0" workbookViewId="0">
      <selection activeCell="B14" sqref="B14"/>
    </sheetView>
  </sheetViews>
  <sheetFormatPr defaultRowHeight="15" x14ac:dyDescent="0.25"/>
  <cols>
    <col min="1" max="1" width="62" customWidth="1"/>
    <col min="2" max="3" width="26" customWidth="1"/>
  </cols>
  <sheetData>
    <row r="1" spans="1:3" ht="30" customHeight="1" x14ac:dyDescent="0.25">
      <c r="A1" s="22" t="s">
        <v>206</v>
      </c>
      <c r="B1" s="19"/>
      <c r="C1" s="19"/>
    </row>
    <row r="2" spans="1:3" ht="18" customHeight="1" x14ac:dyDescent="0.25">
      <c r="A2" s="21" t="s">
        <v>207</v>
      </c>
      <c r="B2" s="19"/>
      <c r="C2" s="19"/>
    </row>
    <row r="4" spans="1:3" ht="21.95" customHeight="1" x14ac:dyDescent="0.25">
      <c r="A4" s="23" t="s">
        <v>208</v>
      </c>
      <c r="B4" s="19"/>
      <c r="C4" s="19"/>
    </row>
    <row r="5" spans="1:3" x14ac:dyDescent="0.25">
      <c r="A5" s="5" t="s">
        <v>209</v>
      </c>
      <c r="B5" s="16" t="s">
        <v>210</v>
      </c>
      <c r="C5" s="19"/>
    </row>
    <row r="6" spans="1:3" x14ac:dyDescent="0.25">
      <c r="A6" s="5" t="s">
        <v>211</v>
      </c>
      <c r="B6" s="16" t="s">
        <v>212</v>
      </c>
      <c r="C6" s="19"/>
    </row>
    <row r="7" spans="1:3" x14ac:dyDescent="0.25">
      <c r="A7" s="5" t="s">
        <v>213</v>
      </c>
      <c r="B7" s="16" t="s">
        <v>214</v>
      </c>
      <c r="C7" s="19"/>
    </row>
    <row r="9" spans="1:3" ht="21.95" customHeight="1" x14ac:dyDescent="0.25">
      <c r="A9" s="23" t="s">
        <v>215</v>
      </c>
      <c r="B9" s="19"/>
      <c r="C9" s="19"/>
    </row>
    <row r="10" spans="1:3" ht="27.95" customHeight="1" x14ac:dyDescent="0.25">
      <c r="A10" s="6" t="s">
        <v>216</v>
      </c>
      <c r="B10" s="6" t="s">
        <v>217</v>
      </c>
      <c r="C10" s="6" t="s">
        <v>218</v>
      </c>
    </row>
    <row r="11" spans="1:3" x14ac:dyDescent="0.25">
      <c r="A11" s="4" t="s">
        <v>219</v>
      </c>
      <c r="B11" s="11" t="s">
        <v>220</v>
      </c>
      <c r="C11" s="11" t="s">
        <v>221</v>
      </c>
    </row>
    <row r="12" spans="1:3" x14ac:dyDescent="0.25">
      <c r="A12" s="4" t="s">
        <v>222</v>
      </c>
      <c r="B12" s="11" t="s">
        <v>220</v>
      </c>
      <c r="C12" s="11" t="s">
        <v>221</v>
      </c>
    </row>
    <row r="13" spans="1:3" x14ac:dyDescent="0.25">
      <c r="A13" s="4" t="s">
        <v>223</v>
      </c>
      <c r="B13" s="11" t="s">
        <v>224</v>
      </c>
      <c r="C13" s="11" t="s">
        <v>221</v>
      </c>
    </row>
    <row r="14" spans="1:3" x14ac:dyDescent="0.25">
      <c r="A14" s="4" t="s">
        <v>225</v>
      </c>
      <c r="B14" s="11" t="s">
        <v>221</v>
      </c>
      <c r="C14" s="11" t="s">
        <v>220</v>
      </c>
    </row>
    <row r="15" spans="1:3" x14ac:dyDescent="0.25">
      <c r="A15" s="4" t="s">
        <v>226</v>
      </c>
      <c r="B15" s="11" t="s">
        <v>221</v>
      </c>
      <c r="C15" s="11" t="s">
        <v>220</v>
      </c>
    </row>
    <row r="16" spans="1:3" x14ac:dyDescent="0.25">
      <c r="A16" s="4" t="s">
        <v>227</v>
      </c>
      <c r="B16" s="11" t="s">
        <v>228</v>
      </c>
      <c r="C16" s="11" t="s">
        <v>229</v>
      </c>
    </row>
    <row r="17" spans="1:3" x14ac:dyDescent="0.25">
      <c r="A17" s="4" t="s">
        <v>230</v>
      </c>
      <c r="B17" s="11" t="s">
        <v>228</v>
      </c>
      <c r="C17" s="11" t="s">
        <v>229</v>
      </c>
    </row>
    <row r="18" spans="1:3" x14ac:dyDescent="0.25">
      <c r="A18" s="4" t="s">
        <v>231</v>
      </c>
      <c r="B18" s="11" t="s">
        <v>228</v>
      </c>
      <c r="C18" s="11" t="s">
        <v>220</v>
      </c>
    </row>
    <row r="19" spans="1:3" x14ac:dyDescent="0.25">
      <c r="A19" s="4" t="s">
        <v>232</v>
      </c>
      <c r="B19" s="11" t="s">
        <v>229</v>
      </c>
      <c r="C19" s="11" t="s">
        <v>229</v>
      </c>
    </row>
    <row r="21" spans="1:3" ht="21.95" customHeight="1" x14ac:dyDescent="0.25">
      <c r="A21" s="23" t="s">
        <v>233</v>
      </c>
      <c r="B21" s="19"/>
      <c r="C21" s="19"/>
    </row>
    <row r="22" spans="1:3" ht="27.95" customHeight="1" x14ac:dyDescent="0.25">
      <c r="A22" s="6" t="s">
        <v>234</v>
      </c>
      <c r="B22" s="6" t="s">
        <v>235</v>
      </c>
      <c r="C22" s="6" t="s">
        <v>236</v>
      </c>
    </row>
    <row r="23" spans="1:3" x14ac:dyDescent="0.25">
      <c r="A23" s="4" t="s">
        <v>237</v>
      </c>
      <c r="B23" s="4" t="s">
        <v>238</v>
      </c>
      <c r="C23" s="4" t="s">
        <v>239</v>
      </c>
    </row>
    <row r="24" spans="1:3" x14ac:dyDescent="0.25">
      <c r="A24" s="4" t="s">
        <v>240</v>
      </c>
      <c r="B24" s="4" t="s">
        <v>218</v>
      </c>
      <c r="C24" s="4" t="s">
        <v>241</v>
      </c>
    </row>
    <row r="25" spans="1:3" x14ac:dyDescent="0.25">
      <c r="A25" s="4" t="s">
        <v>242</v>
      </c>
      <c r="B25" s="4" t="s">
        <v>217</v>
      </c>
      <c r="C25" s="4" t="s">
        <v>243</v>
      </c>
    </row>
    <row r="26" spans="1:3" ht="25.5" x14ac:dyDescent="0.25">
      <c r="A26" s="4" t="s">
        <v>244</v>
      </c>
      <c r="B26" s="4" t="s">
        <v>218</v>
      </c>
      <c r="C26" s="4" t="s">
        <v>245</v>
      </c>
    </row>
    <row r="27" spans="1:3" x14ac:dyDescent="0.25">
      <c r="A27" s="4" t="s">
        <v>246</v>
      </c>
      <c r="B27" s="4" t="s">
        <v>238</v>
      </c>
      <c r="C27" s="4" t="s">
        <v>426</v>
      </c>
    </row>
  </sheetData>
  <mergeCells count="8">
    <mergeCell ref="A21:C21"/>
    <mergeCell ref="A4:C4"/>
    <mergeCell ref="A2:C2"/>
    <mergeCell ref="B6:C6"/>
    <mergeCell ref="B7:C7"/>
    <mergeCell ref="A1:C1"/>
    <mergeCell ref="B5:C5"/>
    <mergeCell ref="A9:C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2"/>
  <sheetViews>
    <sheetView showGridLines="0" workbookViewId="0">
      <selection sqref="A1:F1"/>
    </sheetView>
  </sheetViews>
  <sheetFormatPr defaultRowHeight="15" x14ac:dyDescent="0.25"/>
  <cols>
    <col min="1" max="1" width="6" customWidth="1"/>
    <col min="2" max="2" width="34" customWidth="1"/>
    <col min="3" max="4" width="10" customWidth="1"/>
    <col min="5" max="6" width="34" customWidth="1"/>
  </cols>
  <sheetData>
    <row r="1" spans="1:6" ht="30" customHeight="1" x14ac:dyDescent="0.25">
      <c r="A1" s="22" t="s">
        <v>247</v>
      </c>
      <c r="B1" s="19"/>
      <c r="C1" s="19"/>
      <c r="D1" s="19"/>
      <c r="E1" s="19"/>
      <c r="F1" s="19"/>
    </row>
    <row r="2" spans="1:6" ht="18" customHeight="1" x14ac:dyDescent="0.25">
      <c r="A2" s="21" t="s">
        <v>248</v>
      </c>
      <c r="B2" s="19"/>
      <c r="C2" s="19"/>
      <c r="D2" s="19"/>
      <c r="E2" s="19"/>
      <c r="F2" s="19"/>
    </row>
    <row r="4" spans="1:6" ht="21.95" customHeight="1" x14ac:dyDescent="0.25">
      <c r="A4" s="23" t="s">
        <v>249</v>
      </c>
      <c r="B4" s="19"/>
      <c r="C4" s="19"/>
      <c r="D4" s="19"/>
      <c r="E4" s="19"/>
      <c r="F4" s="19"/>
    </row>
    <row r="5" spans="1:6" ht="25.5" x14ac:dyDescent="0.25">
      <c r="A5" s="5" t="s">
        <v>250</v>
      </c>
      <c r="B5" s="16" t="s">
        <v>251</v>
      </c>
      <c r="C5" s="19"/>
      <c r="D5" s="19"/>
      <c r="E5" s="19"/>
      <c r="F5" s="19"/>
    </row>
    <row r="6" spans="1:6" ht="25.5" x14ac:dyDescent="0.25">
      <c r="A6" s="5" t="s">
        <v>250</v>
      </c>
      <c r="B6" s="16" t="s">
        <v>252</v>
      </c>
      <c r="C6" s="19"/>
      <c r="D6" s="19"/>
      <c r="E6" s="19"/>
      <c r="F6" s="19"/>
    </row>
    <row r="7" spans="1:6" ht="25.5" x14ac:dyDescent="0.25">
      <c r="A7" s="5" t="s">
        <v>250</v>
      </c>
      <c r="B7" s="16" t="s">
        <v>253</v>
      </c>
      <c r="C7" s="19"/>
      <c r="D7" s="19"/>
      <c r="E7" s="19"/>
      <c r="F7" s="19"/>
    </row>
    <row r="8" spans="1:6" ht="25.5" x14ac:dyDescent="0.25">
      <c r="A8" s="5" t="s">
        <v>250</v>
      </c>
      <c r="B8" s="16" t="s">
        <v>254</v>
      </c>
      <c r="C8" s="19"/>
      <c r="D8" s="19"/>
      <c r="E8" s="19"/>
      <c r="F8" s="19"/>
    </row>
    <row r="9" spans="1:6" ht="38.25" x14ac:dyDescent="0.25">
      <c r="A9" s="5" t="s">
        <v>255</v>
      </c>
      <c r="B9" s="16" t="s">
        <v>256</v>
      </c>
      <c r="C9" s="19"/>
      <c r="D9" s="19"/>
      <c r="E9" s="19"/>
      <c r="F9" s="19"/>
    </row>
    <row r="10" spans="1:6" ht="38.25" x14ac:dyDescent="0.25">
      <c r="A10" s="5" t="s">
        <v>255</v>
      </c>
      <c r="B10" s="16" t="s">
        <v>257</v>
      </c>
      <c r="C10" s="19"/>
      <c r="D10" s="19"/>
      <c r="E10" s="19"/>
      <c r="F10" s="19"/>
    </row>
    <row r="11" spans="1:6" ht="38.25" x14ac:dyDescent="0.25">
      <c r="A11" s="5" t="s">
        <v>255</v>
      </c>
      <c r="B11" s="16" t="s">
        <v>258</v>
      </c>
      <c r="C11" s="19"/>
      <c r="D11" s="19"/>
      <c r="E11" s="19"/>
      <c r="F11" s="19"/>
    </row>
    <row r="13" spans="1:6" ht="21.95" customHeight="1" x14ac:dyDescent="0.25">
      <c r="A13" s="23" t="s">
        <v>259</v>
      </c>
      <c r="B13" s="19"/>
      <c r="C13" s="19"/>
      <c r="D13" s="19"/>
      <c r="E13" s="19"/>
      <c r="F13" s="19"/>
    </row>
    <row r="14" spans="1:6" ht="27.95" customHeight="1" x14ac:dyDescent="0.25">
      <c r="A14" s="6" t="s">
        <v>260</v>
      </c>
      <c r="B14" s="6" t="s">
        <v>261</v>
      </c>
      <c r="C14" s="6" t="s">
        <v>262</v>
      </c>
      <c r="D14" s="6" t="s">
        <v>263</v>
      </c>
      <c r="E14" s="6" t="s">
        <v>264</v>
      </c>
      <c r="F14" s="6" t="s">
        <v>265</v>
      </c>
    </row>
    <row r="15" spans="1:6" ht="38.25" x14ac:dyDescent="0.25">
      <c r="A15" s="11" t="s">
        <v>266</v>
      </c>
      <c r="B15" s="4" t="s">
        <v>267</v>
      </c>
      <c r="C15" s="11" t="s">
        <v>268</v>
      </c>
      <c r="D15" s="11" t="s">
        <v>269</v>
      </c>
      <c r="E15" s="4" t="s">
        <v>270</v>
      </c>
      <c r="F15" s="4" t="s">
        <v>271</v>
      </c>
    </row>
    <row r="16" spans="1:6" ht="38.25" x14ac:dyDescent="0.25">
      <c r="A16" s="11" t="s">
        <v>272</v>
      </c>
      <c r="B16" s="4" t="s">
        <v>273</v>
      </c>
      <c r="C16" s="11" t="s">
        <v>268</v>
      </c>
      <c r="D16" s="11" t="s">
        <v>269</v>
      </c>
      <c r="E16" s="4" t="s">
        <v>274</v>
      </c>
      <c r="F16" s="4" t="s">
        <v>275</v>
      </c>
    </row>
    <row r="17" spans="1:6" ht="25.5" x14ac:dyDescent="0.25">
      <c r="A17" s="11" t="s">
        <v>276</v>
      </c>
      <c r="B17" s="4" t="s">
        <v>277</v>
      </c>
      <c r="C17" s="11" t="s">
        <v>278</v>
      </c>
      <c r="D17" s="11" t="s">
        <v>279</v>
      </c>
      <c r="E17" s="4" t="s">
        <v>280</v>
      </c>
      <c r="F17" s="4" t="s">
        <v>281</v>
      </c>
    </row>
    <row r="18" spans="1:6" ht="38.25" x14ac:dyDescent="0.25">
      <c r="A18" s="11" t="s">
        <v>282</v>
      </c>
      <c r="B18" s="4" t="s">
        <v>283</v>
      </c>
      <c r="C18" s="11" t="s">
        <v>284</v>
      </c>
      <c r="D18" s="11" t="s">
        <v>285</v>
      </c>
      <c r="E18" s="4" t="s">
        <v>286</v>
      </c>
      <c r="F18" s="4" t="s">
        <v>287</v>
      </c>
    </row>
    <row r="19" spans="1:6" ht="25.5" x14ac:dyDescent="0.25">
      <c r="A19" s="11" t="s">
        <v>288</v>
      </c>
      <c r="B19" s="4" t="s">
        <v>289</v>
      </c>
      <c r="C19" s="11" t="s">
        <v>268</v>
      </c>
      <c r="D19" s="11" t="s">
        <v>285</v>
      </c>
      <c r="E19" s="4" t="s">
        <v>290</v>
      </c>
      <c r="F19" s="4" t="s">
        <v>291</v>
      </c>
    </row>
    <row r="20" spans="1:6" ht="25.5" x14ac:dyDescent="0.25">
      <c r="A20" s="11" t="s">
        <v>292</v>
      </c>
      <c r="B20" s="4" t="s">
        <v>293</v>
      </c>
      <c r="C20" s="11" t="s">
        <v>278</v>
      </c>
      <c r="D20" s="11" t="s">
        <v>279</v>
      </c>
      <c r="E20" s="4" t="s">
        <v>294</v>
      </c>
      <c r="F20" s="4" t="s">
        <v>295</v>
      </c>
    </row>
    <row r="21" spans="1:6" ht="25.5" x14ac:dyDescent="0.25">
      <c r="A21" s="11" t="s">
        <v>296</v>
      </c>
      <c r="B21" s="4" t="s">
        <v>297</v>
      </c>
      <c r="C21" s="11" t="s">
        <v>284</v>
      </c>
      <c r="D21" s="11" t="s">
        <v>298</v>
      </c>
      <c r="E21" s="4" t="s">
        <v>299</v>
      </c>
      <c r="F21" s="4" t="s">
        <v>300</v>
      </c>
    </row>
    <row r="22" spans="1:6" ht="25.5" x14ac:dyDescent="0.25">
      <c r="A22" s="11" t="s">
        <v>301</v>
      </c>
      <c r="B22" s="4" t="s">
        <v>302</v>
      </c>
      <c r="C22" s="11" t="s">
        <v>268</v>
      </c>
      <c r="D22" s="11" t="s">
        <v>279</v>
      </c>
      <c r="E22" s="4" t="s">
        <v>303</v>
      </c>
      <c r="F22" s="4" t="s">
        <v>304</v>
      </c>
    </row>
  </sheetData>
  <mergeCells count="11">
    <mergeCell ref="A1:F1"/>
    <mergeCell ref="B11:F11"/>
    <mergeCell ref="B5:F5"/>
    <mergeCell ref="A4:F4"/>
    <mergeCell ref="B8:F8"/>
    <mergeCell ref="B9:F9"/>
    <mergeCell ref="A2:F2"/>
    <mergeCell ref="B7:F7"/>
    <mergeCell ref="B6:F6"/>
    <mergeCell ref="A13:F13"/>
    <mergeCell ref="B10:F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6"/>
  <sheetViews>
    <sheetView showGridLines="0" workbookViewId="0">
      <selection activeCell="A5" sqref="A5"/>
    </sheetView>
  </sheetViews>
  <sheetFormatPr defaultRowHeight="15" x14ac:dyDescent="0.25"/>
  <cols>
    <col min="1" max="1" width="7" customWidth="1"/>
    <col min="2" max="2" width="34" customWidth="1"/>
    <col min="3" max="3" width="16" customWidth="1"/>
    <col min="4" max="4" width="38" customWidth="1"/>
    <col min="5" max="5" width="14" customWidth="1"/>
    <col min="6" max="6" width="12" customWidth="1"/>
    <col min="7" max="7" width="24" customWidth="1"/>
    <col min="8" max="8" width="2" customWidth="1"/>
  </cols>
  <sheetData>
    <row r="1" spans="1:8" ht="30" customHeight="1" x14ac:dyDescent="0.25">
      <c r="A1" s="22" t="s">
        <v>305</v>
      </c>
      <c r="B1" s="19"/>
      <c r="C1" s="19"/>
      <c r="D1" s="19"/>
      <c r="E1" s="19"/>
      <c r="F1" s="19"/>
      <c r="G1" s="19"/>
      <c r="H1" s="19"/>
    </row>
    <row r="2" spans="1:8" ht="18" customHeight="1" x14ac:dyDescent="0.25">
      <c r="A2" s="21" t="s">
        <v>306</v>
      </c>
      <c r="B2" s="19"/>
      <c r="C2" s="19"/>
      <c r="D2" s="19"/>
      <c r="E2" s="19"/>
      <c r="F2" s="19"/>
      <c r="G2" s="19"/>
      <c r="H2" s="19"/>
    </row>
    <row r="4" spans="1:8" ht="21.95" customHeight="1" x14ac:dyDescent="0.25">
      <c r="A4" s="23" t="s">
        <v>307</v>
      </c>
      <c r="B4" s="19"/>
      <c r="C4" s="19"/>
      <c r="D4" s="19"/>
      <c r="E4" s="19"/>
      <c r="F4" s="19"/>
      <c r="G4" s="19"/>
      <c r="H4" s="19"/>
    </row>
    <row r="5" spans="1:8" ht="27.95" customHeight="1" x14ac:dyDescent="0.25">
      <c r="A5" s="6" t="s">
        <v>308</v>
      </c>
      <c r="B5" s="6" t="s">
        <v>309</v>
      </c>
      <c r="C5" s="6" t="s">
        <v>310</v>
      </c>
      <c r="D5" s="6" t="s">
        <v>311</v>
      </c>
      <c r="E5" s="6" t="s">
        <v>312</v>
      </c>
      <c r="F5" s="6" t="s">
        <v>313</v>
      </c>
      <c r="G5" s="6" t="s">
        <v>135</v>
      </c>
      <c r="H5" s="6"/>
    </row>
    <row r="6" spans="1:8" ht="25.5" x14ac:dyDescent="0.25">
      <c r="A6" s="4" t="s">
        <v>314</v>
      </c>
      <c r="B6" s="11">
        <v>29</v>
      </c>
      <c r="C6" s="11">
        <v>29</v>
      </c>
      <c r="D6" s="11">
        <v>0</v>
      </c>
      <c r="E6" s="11">
        <v>0</v>
      </c>
      <c r="F6" s="11" t="s">
        <v>315</v>
      </c>
      <c r="G6" s="4" t="s">
        <v>138</v>
      </c>
      <c r="H6" s="11"/>
    </row>
    <row r="7" spans="1:8" ht="38.25" x14ac:dyDescent="0.25">
      <c r="A7" s="4" t="s">
        <v>142</v>
      </c>
      <c r="B7" s="11">
        <v>45</v>
      </c>
      <c r="C7" s="11">
        <v>45</v>
      </c>
      <c r="D7" s="11">
        <v>0</v>
      </c>
      <c r="E7" s="11">
        <v>0</v>
      </c>
      <c r="F7" s="11" t="s">
        <v>147</v>
      </c>
      <c r="G7" s="4" t="s">
        <v>145</v>
      </c>
      <c r="H7" s="11"/>
    </row>
    <row r="8" spans="1:8" ht="25.5" x14ac:dyDescent="0.25">
      <c r="A8" s="4" t="s">
        <v>66</v>
      </c>
      <c r="B8" s="11">
        <v>155</v>
      </c>
      <c r="C8" s="11">
        <v>155</v>
      </c>
      <c r="D8" s="11">
        <v>0</v>
      </c>
      <c r="E8" s="11">
        <v>0</v>
      </c>
      <c r="F8" s="11" t="s">
        <v>315</v>
      </c>
      <c r="G8" s="4" t="s">
        <v>141</v>
      </c>
      <c r="H8" s="11"/>
    </row>
    <row r="9" spans="1:8" ht="38.25" x14ac:dyDescent="0.25">
      <c r="A9" s="4" t="s">
        <v>316</v>
      </c>
      <c r="B9" s="11">
        <v>29</v>
      </c>
      <c r="C9" s="11">
        <v>29</v>
      </c>
      <c r="D9" s="11">
        <v>0</v>
      </c>
      <c r="E9" s="11">
        <v>0</v>
      </c>
      <c r="F9" s="11" t="s">
        <v>147</v>
      </c>
      <c r="G9" s="4" t="s">
        <v>149</v>
      </c>
      <c r="H9" s="11"/>
    </row>
    <row r="10" spans="1:8" ht="25.5" x14ac:dyDescent="0.25">
      <c r="A10" s="4" t="s">
        <v>150</v>
      </c>
      <c r="B10" s="11">
        <v>5</v>
      </c>
      <c r="C10" s="11">
        <v>5</v>
      </c>
      <c r="D10" s="11">
        <v>0</v>
      </c>
      <c r="E10" s="11">
        <v>0</v>
      </c>
      <c r="F10" s="11" t="s">
        <v>147</v>
      </c>
      <c r="G10" s="4" t="s">
        <v>317</v>
      </c>
      <c r="H10" s="11"/>
    </row>
    <row r="11" spans="1:8" ht="25.5" x14ac:dyDescent="0.25">
      <c r="A11" s="4" t="s">
        <v>153</v>
      </c>
      <c r="B11" s="11">
        <v>51</v>
      </c>
      <c r="C11" s="11">
        <v>51</v>
      </c>
      <c r="D11" s="11">
        <v>0</v>
      </c>
      <c r="E11" s="11">
        <v>0</v>
      </c>
      <c r="F11" s="11" t="s">
        <v>147</v>
      </c>
      <c r="G11" s="4" t="s">
        <v>318</v>
      </c>
      <c r="H11" s="11"/>
    </row>
    <row r="12" spans="1:8" ht="63.75" x14ac:dyDescent="0.25">
      <c r="A12" s="8" t="s">
        <v>319</v>
      </c>
      <c r="B12" s="12">
        <f>SUM(B6:B11)</f>
        <v>314</v>
      </c>
      <c r="C12" s="12">
        <f>SUM(C6:C11)</f>
        <v>314</v>
      </c>
      <c r="D12" s="12">
        <f>SUM(D6:D11)</f>
        <v>0</v>
      </c>
      <c r="E12" s="12">
        <f>SUM(E6:E11)</f>
        <v>0</v>
      </c>
      <c r="F12" s="12" t="s">
        <v>315</v>
      </c>
      <c r="G12" s="8" t="s">
        <v>147</v>
      </c>
      <c r="H12" s="12"/>
    </row>
    <row r="13" spans="1:8" ht="38.25" x14ac:dyDescent="0.25">
      <c r="A13" s="13" t="s">
        <v>320</v>
      </c>
      <c r="B13" s="14">
        <v>2</v>
      </c>
      <c r="C13" s="14">
        <v>1</v>
      </c>
      <c r="D13" s="14">
        <v>0</v>
      </c>
      <c r="E13" s="14">
        <v>0</v>
      </c>
      <c r="F13" s="14" t="s">
        <v>321</v>
      </c>
      <c r="G13" s="13" t="s">
        <v>158</v>
      </c>
      <c r="H13" s="14"/>
    </row>
    <row r="15" spans="1:8" ht="21.95" customHeight="1" x14ac:dyDescent="0.25">
      <c r="A15" s="23" t="s">
        <v>322</v>
      </c>
      <c r="B15" s="19"/>
      <c r="C15" s="19"/>
      <c r="D15" s="19"/>
      <c r="E15" s="19"/>
      <c r="F15" s="19"/>
      <c r="G15" s="19"/>
      <c r="H15" s="19"/>
    </row>
    <row r="16" spans="1:8" ht="27.95" customHeight="1" x14ac:dyDescent="0.25">
      <c r="A16" s="6" t="s">
        <v>260</v>
      </c>
      <c r="B16" s="6" t="s">
        <v>323</v>
      </c>
      <c r="C16" s="6" t="s">
        <v>132</v>
      </c>
      <c r="D16" s="6" t="s">
        <v>324</v>
      </c>
      <c r="E16" s="6" t="s">
        <v>325</v>
      </c>
      <c r="F16" s="6" t="s">
        <v>236</v>
      </c>
      <c r="G16" s="6" t="s">
        <v>326</v>
      </c>
      <c r="H16" s="6"/>
    </row>
    <row r="17" spans="1:8" ht="25.5" x14ac:dyDescent="0.25">
      <c r="A17" s="11" t="s">
        <v>73</v>
      </c>
      <c r="B17" s="4" t="s">
        <v>327</v>
      </c>
      <c r="C17" s="11" t="s">
        <v>72</v>
      </c>
      <c r="D17" s="4" t="s">
        <v>328</v>
      </c>
      <c r="E17" s="4" t="s">
        <v>329</v>
      </c>
      <c r="F17" s="9" t="s">
        <v>330</v>
      </c>
      <c r="G17" s="4" t="s">
        <v>331</v>
      </c>
      <c r="H17" s="11"/>
    </row>
    <row r="18" spans="1:8" ht="25.5" x14ac:dyDescent="0.25">
      <c r="A18" s="11" t="s">
        <v>332</v>
      </c>
      <c r="B18" s="4" t="s">
        <v>333</v>
      </c>
      <c r="C18" s="11" t="s">
        <v>66</v>
      </c>
      <c r="D18" s="4" t="s">
        <v>334</v>
      </c>
      <c r="E18" s="4" t="s">
        <v>329</v>
      </c>
      <c r="F18" s="9" t="s">
        <v>330</v>
      </c>
      <c r="G18" s="4" t="s">
        <v>331</v>
      </c>
      <c r="H18" s="11"/>
    </row>
    <row r="19" spans="1:8" ht="25.5" x14ac:dyDescent="0.25">
      <c r="A19" s="11" t="s">
        <v>56</v>
      </c>
      <c r="B19" s="4" t="s">
        <v>335</v>
      </c>
      <c r="C19" s="11" t="s">
        <v>66</v>
      </c>
      <c r="D19" s="4" t="s">
        <v>336</v>
      </c>
      <c r="E19" s="4" t="s">
        <v>329</v>
      </c>
      <c r="F19" s="9" t="s">
        <v>330</v>
      </c>
      <c r="G19" s="4" t="s">
        <v>331</v>
      </c>
      <c r="H19" s="11"/>
    </row>
    <row r="20" spans="1:8" x14ac:dyDescent="0.25">
      <c r="A20" s="11" t="s">
        <v>337</v>
      </c>
      <c r="B20" s="4" t="s">
        <v>338</v>
      </c>
      <c r="C20" s="11" t="s">
        <v>66</v>
      </c>
      <c r="D20" s="4" t="s">
        <v>339</v>
      </c>
      <c r="E20" s="4" t="s">
        <v>329</v>
      </c>
      <c r="F20" s="9" t="s">
        <v>330</v>
      </c>
      <c r="G20" s="4" t="s">
        <v>331</v>
      </c>
      <c r="H20" s="11"/>
    </row>
    <row r="21" spans="1:8" ht="25.5" x14ac:dyDescent="0.25">
      <c r="A21" s="11" t="s">
        <v>340</v>
      </c>
      <c r="B21" s="4" t="s">
        <v>341</v>
      </c>
      <c r="C21" s="11" t="s">
        <v>342</v>
      </c>
      <c r="D21" s="4" t="s">
        <v>343</v>
      </c>
      <c r="E21" s="4" t="s">
        <v>329</v>
      </c>
      <c r="F21" s="9" t="s">
        <v>330</v>
      </c>
      <c r="G21" s="4" t="s">
        <v>331</v>
      </c>
      <c r="H21" s="11"/>
    </row>
    <row r="22" spans="1:8" ht="25.5" x14ac:dyDescent="0.25">
      <c r="A22" s="11" t="s">
        <v>344</v>
      </c>
      <c r="B22" s="4" t="s">
        <v>345</v>
      </c>
      <c r="C22" s="11" t="s">
        <v>66</v>
      </c>
      <c r="D22" s="4" t="s">
        <v>346</v>
      </c>
      <c r="E22" s="4" t="s">
        <v>329</v>
      </c>
      <c r="F22" s="9" t="s">
        <v>330</v>
      </c>
      <c r="G22" s="4" t="s">
        <v>331</v>
      </c>
      <c r="H22" s="11"/>
    </row>
    <row r="23" spans="1:8" ht="25.5" x14ac:dyDescent="0.25">
      <c r="A23" s="11" t="s">
        <v>347</v>
      </c>
      <c r="B23" s="4" t="s">
        <v>348</v>
      </c>
      <c r="C23" s="11" t="s">
        <v>153</v>
      </c>
      <c r="D23" s="4" t="s">
        <v>349</v>
      </c>
      <c r="E23" s="4" t="s">
        <v>329</v>
      </c>
      <c r="F23" s="9" t="s">
        <v>330</v>
      </c>
      <c r="G23" s="4" t="s">
        <v>331</v>
      </c>
      <c r="H23" s="11"/>
    </row>
    <row r="24" spans="1:8" ht="25.5" x14ac:dyDescent="0.25">
      <c r="A24" s="11" t="s">
        <v>350</v>
      </c>
      <c r="B24" s="4" t="s">
        <v>351</v>
      </c>
      <c r="C24" s="11" t="s">
        <v>153</v>
      </c>
      <c r="D24" s="4" t="s">
        <v>352</v>
      </c>
      <c r="E24" s="4" t="s">
        <v>329</v>
      </c>
      <c r="F24" s="9" t="s">
        <v>330</v>
      </c>
      <c r="G24" s="4" t="s">
        <v>331</v>
      </c>
      <c r="H24" s="11"/>
    </row>
    <row r="25" spans="1:8" ht="25.5" x14ac:dyDescent="0.25">
      <c r="A25" s="11" t="s">
        <v>353</v>
      </c>
      <c r="B25" s="4" t="s">
        <v>354</v>
      </c>
      <c r="C25" s="11" t="s">
        <v>153</v>
      </c>
      <c r="D25" s="4" t="s">
        <v>355</v>
      </c>
      <c r="E25" s="4" t="s">
        <v>329</v>
      </c>
      <c r="F25" s="9" t="s">
        <v>330</v>
      </c>
      <c r="G25" s="4" t="s">
        <v>331</v>
      </c>
      <c r="H25" s="11"/>
    </row>
    <row r="26" spans="1:8" ht="25.5" x14ac:dyDescent="0.25">
      <c r="A26" s="11" t="s">
        <v>356</v>
      </c>
      <c r="B26" s="4" t="s">
        <v>357</v>
      </c>
      <c r="C26" s="11" t="s">
        <v>153</v>
      </c>
      <c r="D26" s="4" t="s">
        <v>358</v>
      </c>
      <c r="E26" s="4" t="s">
        <v>329</v>
      </c>
      <c r="F26" s="9" t="s">
        <v>330</v>
      </c>
      <c r="G26" s="4" t="s">
        <v>331</v>
      </c>
      <c r="H26" s="11"/>
    </row>
    <row r="27" spans="1:8" ht="25.5" x14ac:dyDescent="0.25">
      <c r="A27" s="11" t="s">
        <v>359</v>
      </c>
      <c r="B27" s="4" t="s">
        <v>360</v>
      </c>
      <c r="C27" s="11" t="s">
        <v>153</v>
      </c>
      <c r="D27" s="4" t="s">
        <v>361</v>
      </c>
      <c r="E27" s="4" t="s">
        <v>329</v>
      </c>
      <c r="F27" s="9" t="s">
        <v>330</v>
      </c>
      <c r="G27" s="4" t="s">
        <v>331</v>
      </c>
      <c r="H27" s="11"/>
    </row>
    <row r="28" spans="1:8" ht="25.5" x14ac:dyDescent="0.25">
      <c r="A28" s="11" t="s">
        <v>362</v>
      </c>
      <c r="B28" s="4" t="s">
        <v>363</v>
      </c>
      <c r="C28" s="11" t="s">
        <v>364</v>
      </c>
      <c r="D28" s="4" t="s">
        <v>365</v>
      </c>
      <c r="E28" s="4" t="s">
        <v>366</v>
      </c>
      <c r="F28" s="9" t="s">
        <v>330</v>
      </c>
      <c r="G28" s="4" t="s">
        <v>367</v>
      </c>
      <c r="H28" s="11"/>
    </row>
    <row r="29" spans="1:8" ht="25.5" x14ac:dyDescent="0.25">
      <c r="A29" s="11" t="s">
        <v>84</v>
      </c>
      <c r="B29" s="4" t="s">
        <v>368</v>
      </c>
      <c r="C29" s="11" t="s">
        <v>156</v>
      </c>
      <c r="D29" s="4" t="s">
        <v>369</v>
      </c>
      <c r="E29" s="4" t="s">
        <v>370</v>
      </c>
      <c r="F29" s="9" t="s">
        <v>330</v>
      </c>
      <c r="G29" s="4" t="s">
        <v>371</v>
      </c>
      <c r="H29" s="11"/>
    </row>
    <row r="30" spans="1:8" ht="51" x14ac:dyDescent="0.25">
      <c r="A30" s="11" t="s">
        <v>372</v>
      </c>
      <c r="B30" s="4" t="s">
        <v>373</v>
      </c>
      <c r="C30" s="11" t="s">
        <v>156</v>
      </c>
      <c r="D30" s="4" t="s">
        <v>374</v>
      </c>
      <c r="E30" s="4" t="s">
        <v>375</v>
      </c>
      <c r="F30" s="15" t="s">
        <v>312</v>
      </c>
      <c r="G30" s="4" t="s">
        <v>376</v>
      </c>
      <c r="H30" s="11"/>
    </row>
    <row r="32" spans="1:8" ht="21.95" customHeight="1" x14ac:dyDescent="0.25">
      <c r="A32" s="23" t="s">
        <v>377</v>
      </c>
      <c r="B32" s="19"/>
      <c r="C32" s="19"/>
      <c r="D32" s="19"/>
      <c r="E32" s="19"/>
      <c r="F32" s="19"/>
      <c r="G32" s="19"/>
      <c r="H32" s="19"/>
    </row>
    <row r="33" spans="1:8" ht="27.95" customHeight="1" x14ac:dyDescent="0.25">
      <c r="A33" s="6" t="s">
        <v>260</v>
      </c>
      <c r="B33" s="6" t="s">
        <v>378</v>
      </c>
      <c r="C33" s="6" t="s">
        <v>132</v>
      </c>
      <c r="D33" s="6" t="s">
        <v>379</v>
      </c>
      <c r="E33" s="6" t="s">
        <v>325</v>
      </c>
      <c r="F33" s="6" t="s">
        <v>236</v>
      </c>
      <c r="G33" s="6" t="s">
        <v>326</v>
      </c>
      <c r="H33" s="6"/>
    </row>
    <row r="34" spans="1:8" x14ac:dyDescent="0.25">
      <c r="A34" s="11" t="s">
        <v>75</v>
      </c>
      <c r="B34" s="4" t="s">
        <v>380</v>
      </c>
      <c r="C34" s="11" t="s">
        <v>72</v>
      </c>
      <c r="D34" s="4" t="s">
        <v>381</v>
      </c>
      <c r="E34" s="4" t="s">
        <v>329</v>
      </c>
      <c r="F34" s="9" t="s">
        <v>330</v>
      </c>
      <c r="G34" s="4" t="s">
        <v>382</v>
      </c>
      <c r="H34" s="11"/>
    </row>
    <row r="35" spans="1:8" x14ac:dyDescent="0.25">
      <c r="A35" s="11" t="s">
        <v>383</v>
      </c>
      <c r="B35" s="4" t="s">
        <v>384</v>
      </c>
      <c r="C35" s="11" t="s">
        <v>72</v>
      </c>
      <c r="D35" s="4" t="s">
        <v>385</v>
      </c>
      <c r="E35" s="4" t="s">
        <v>329</v>
      </c>
      <c r="F35" s="9" t="s">
        <v>330</v>
      </c>
      <c r="G35" s="4" t="s">
        <v>382</v>
      </c>
      <c r="H35" s="11"/>
    </row>
    <row r="36" spans="1:8" ht="25.5" x14ac:dyDescent="0.25">
      <c r="A36" s="11" t="s">
        <v>386</v>
      </c>
      <c r="B36" s="4" t="s">
        <v>387</v>
      </c>
      <c r="C36" s="11" t="s">
        <v>66</v>
      </c>
      <c r="D36" s="4" t="s">
        <v>388</v>
      </c>
      <c r="E36" s="4" t="s">
        <v>329</v>
      </c>
      <c r="F36" s="9" t="s">
        <v>330</v>
      </c>
      <c r="G36" s="4" t="s">
        <v>382</v>
      </c>
      <c r="H36" s="11"/>
    </row>
    <row r="37" spans="1:8" x14ac:dyDescent="0.25">
      <c r="A37" s="11" t="s">
        <v>389</v>
      </c>
      <c r="B37" s="4" t="s">
        <v>390</v>
      </c>
      <c r="C37" s="11" t="s">
        <v>66</v>
      </c>
      <c r="D37" s="4" t="s">
        <v>391</v>
      </c>
      <c r="E37" s="4" t="s">
        <v>329</v>
      </c>
      <c r="F37" s="9" t="s">
        <v>330</v>
      </c>
      <c r="G37" s="4" t="s">
        <v>382</v>
      </c>
      <c r="H37" s="11"/>
    </row>
    <row r="38" spans="1:8" x14ac:dyDescent="0.25">
      <c r="A38" s="11" t="s">
        <v>392</v>
      </c>
      <c r="B38" s="4" t="s">
        <v>393</v>
      </c>
      <c r="C38" s="11" t="s">
        <v>150</v>
      </c>
      <c r="D38" s="4" t="s">
        <v>394</v>
      </c>
      <c r="E38" s="4" t="s">
        <v>329</v>
      </c>
      <c r="F38" s="9" t="s">
        <v>330</v>
      </c>
      <c r="G38" s="4" t="s">
        <v>382</v>
      </c>
      <c r="H38" s="11"/>
    </row>
    <row r="39" spans="1:8" x14ac:dyDescent="0.25">
      <c r="A39" s="11" t="s">
        <v>128</v>
      </c>
      <c r="B39" s="4" t="s">
        <v>395</v>
      </c>
      <c r="C39" s="11" t="s">
        <v>396</v>
      </c>
      <c r="D39" s="4" t="s">
        <v>397</v>
      </c>
      <c r="E39" s="4" t="s">
        <v>329</v>
      </c>
      <c r="F39" s="9" t="s">
        <v>330</v>
      </c>
      <c r="G39" s="4" t="s">
        <v>382</v>
      </c>
      <c r="H39" s="11"/>
    </row>
    <row r="40" spans="1:8" x14ac:dyDescent="0.25">
      <c r="A40" s="11" t="s">
        <v>398</v>
      </c>
      <c r="B40" s="4" t="s">
        <v>144</v>
      </c>
      <c r="C40" s="11" t="s">
        <v>342</v>
      </c>
      <c r="D40" s="4" t="s">
        <v>399</v>
      </c>
      <c r="E40" s="4" t="s">
        <v>329</v>
      </c>
      <c r="F40" s="9" t="s">
        <v>330</v>
      </c>
      <c r="G40" s="4" t="s">
        <v>400</v>
      </c>
      <c r="H40" s="11"/>
    </row>
    <row r="41" spans="1:8" ht="25.5" x14ac:dyDescent="0.25">
      <c r="A41" s="11" t="s">
        <v>401</v>
      </c>
      <c r="B41" s="4" t="s">
        <v>402</v>
      </c>
      <c r="C41" s="11" t="s">
        <v>403</v>
      </c>
      <c r="D41" s="4" t="s">
        <v>404</v>
      </c>
      <c r="E41" s="4" t="s">
        <v>329</v>
      </c>
      <c r="F41" s="9" t="s">
        <v>330</v>
      </c>
      <c r="G41" s="4" t="s">
        <v>400</v>
      </c>
      <c r="H41" s="11"/>
    </row>
    <row r="42" spans="1:8" ht="25.5" x14ac:dyDescent="0.25">
      <c r="A42" s="11" t="s">
        <v>405</v>
      </c>
      <c r="B42" s="4" t="s">
        <v>406</v>
      </c>
      <c r="C42" s="11" t="s">
        <v>403</v>
      </c>
      <c r="D42" s="4" t="s">
        <v>407</v>
      </c>
      <c r="E42" s="4" t="s">
        <v>329</v>
      </c>
      <c r="F42" s="9" t="s">
        <v>330</v>
      </c>
      <c r="G42" s="4" t="s">
        <v>400</v>
      </c>
      <c r="H42" s="11"/>
    </row>
    <row r="43" spans="1:8" ht="25.5" x14ac:dyDescent="0.25">
      <c r="A43" s="11" t="s">
        <v>408</v>
      </c>
      <c r="B43" s="4" t="s">
        <v>409</v>
      </c>
      <c r="C43" s="11" t="s">
        <v>403</v>
      </c>
      <c r="D43" s="4" t="s">
        <v>410</v>
      </c>
      <c r="E43" s="4" t="s">
        <v>329</v>
      </c>
      <c r="F43" s="9" t="s">
        <v>330</v>
      </c>
      <c r="G43" s="4" t="s">
        <v>400</v>
      </c>
      <c r="H43" s="11"/>
    </row>
    <row r="44" spans="1:8" ht="25.5" x14ac:dyDescent="0.25">
      <c r="A44" s="11" t="s">
        <v>411</v>
      </c>
      <c r="B44" s="4" t="s">
        <v>412</v>
      </c>
      <c r="C44" s="11" t="s">
        <v>403</v>
      </c>
      <c r="D44" s="4" t="s">
        <v>413</v>
      </c>
      <c r="E44" s="4" t="s">
        <v>329</v>
      </c>
      <c r="F44" s="9" t="s">
        <v>330</v>
      </c>
      <c r="G44" s="4" t="s">
        <v>400</v>
      </c>
      <c r="H44" s="11"/>
    </row>
    <row r="45" spans="1:8" ht="51" x14ac:dyDescent="0.25">
      <c r="A45" s="11" t="s">
        <v>414</v>
      </c>
      <c r="B45" s="4" t="s">
        <v>415</v>
      </c>
      <c r="C45" s="11" t="s">
        <v>364</v>
      </c>
      <c r="D45" s="4" t="s">
        <v>416</v>
      </c>
      <c r="E45" s="4" t="s">
        <v>417</v>
      </c>
      <c r="F45" s="15" t="s">
        <v>418</v>
      </c>
      <c r="G45" s="4" t="s">
        <v>419</v>
      </c>
      <c r="H45" s="11"/>
    </row>
    <row r="46" spans="1:8" x14ac:dyDescent="0.25">
      <c r="A46" s="11" t="s">
        <v>420</v>
      </c>
      <c r="B46" s="4" t="s">
        <v>421</v>
      </c>
      <c r="C46" s="11" t="s">
        <v>422</v>
      </c>
      <c r="D46" s="4" t="s">
        <v>423</v>
      </c>
      <c r="E46" s="4" t="s">
        <v>424</v>
      </c>
      <c r="F46" s="9" t="s">
        <v>330</v>
      </c>
      <c r="G46" s="4" t="s">
        <v>425</v>
      </c>
      <c r="H46" s="11"/>
    </row>
  </sheetData>
  <mergeCells count="5">
    <mergeCell ref="A4:H4"/>
    <mergeCell ref="A15:H15"/>
    <mergeCell ref="A2:H2"/>
    <mergeCell ref="A1:H1"/>
    <mergeCell ref="A32:H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Portada</vt:lpstr>
      <vt:lpstr>1. Resumen</vt:lpstr>
      <vt:lpstr>2. Alcance</vt:lpstr>
      <vt:lpstr>3. Elementos a probar</vt:lpstr>
      <vt:lpstr>4. Criterios</vt:lpstr>
      <vt:lpstr>5. Recursos-RACI-Crono</vt:lpstr>
      <vt:lpstr>6. Riesgos</vt:lpstr>
      <vt:lpstr>7. Matriz trazabilidad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IGNACIO BENJAMIN SAAVEDRA DEL CANTO</cp:lastModifiedBy>
  <dcterms:created xsi:type="dcterms:W3CDTF">2026-06-22T01:25:21Z</dcterms:created>
  <dcterms:modified xsi:type="dcterms:W3CDTF">2026-06-22T02:01:06Z</dcterms:modified>
</cp:coreProperties>
</file>